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754" firstSheet="0" activeTab="0" autoFilterDateGrouping="1"/>
  </bookViews>
  <sheets>
    <sheet xmlns:r="http://schemas.openxmlformats.org/officeDocument/2006/relationships" name="日常水質" sheetId="1" state="visible" r:id="rId1"/>
    <sheet xmlns:r="http://schemas.openxmlformats.org/officeDocument/2006/relationships" name="運転管理月報" sheetId="2" state="visible" r:id="rId2"/>
    <sheet xmlns:r="http://schemas.openxmlformats.org/officeDocument/2006/relationships" name="水質管理報告" sheetId="3" state="visible" r:id="rId3"/>
    <sheet xmlns:r="http://schemas.openxmlformats.org/officeDocument/2006/relationships" name="日常機械設備" sheetId="4" state="visible" r:id="rId4"/>
    <sheet xmlns:r="http://schemas.openxmlformats.org/officeDocument/2006/relationships" name="日常電気設備" sheetId="5" state="visible" r:id="rId5"/>
    <sheet xmlns:r="http://schemas.openxmlformats.org/officeDocument/2006/relationships" name="主要機器運転時間" sheetId="6" state="visible" r:id="rId6"/>
  </sheets>
  <definedNames>
    <definedName name="_xlnm.Print_Area" localSheetId="0">'日常水質'!$A$1:$R$260</definedName>
    <definedName name="_xlnm.Print_Area" localSheetId="1">'運転管理月報'!$A$1:$N$283</definedName>
    <definedName name="_xlnm.Print_Area" localSheetId="2">'水質管理報告'!$A$1:$S$82</definedName>
    <definedName name="_xlnm.Print_Area" localSheetId="3">'日常機械設備'!$A$1:$I$884</definedName>
    <definedName name="_xlnm.Print_Area" localSheetId="4">'日常電気設備'!$A$1:$K$503</definedName>
    <definedName name="_xlnm.Print_Area" localSheetId="5">'主要機器運転時間'!$A$1:$H$190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m&quot;月&quot;d&quot;日(&quot;aaa&quot;)&quot;"/>
    <numFmt numFmtId="165" formatCode="0.000"/>
    <numFmt numFmtId="166" formatCode="0_ "/>
    <numFmt numFmtId="167" formatCode="0.0"/>
    <numFmt numFmtId="168" formatCode="0.00_ "/>
    <numFmt numFmtId="169" formatCode="aaa"/>
    <numFmt numFmtId="170" formatCode="0.0_);[Red]\(0.0\)"/>
    <numFmt numFmtId="171" formatCode="0.0_ "/>
    <numFmt numFmtId="172" formatCode="0_);[Red]\(0\)"/>
    <numFmt numFmtId="173" formatCode="0.00_);[Red]\(0.00\)"/>
    <numFmt numFmtId="174" formatCode="0_);\(0\)"/>
    <numFmt numFmtId="175" formatCode="0;[Red]0"/>
    <numFmt numFmtId="176" formatCode="d"/>
    <numFmt numFmtId="177" formatCode="d&quot;日(&quot;aaa&quot;)&quot;"/>
    <numFmt numFmtId="178" formatCode="0.0;[Red]0.0"/>
    <numFmt numFmtId="179" formatCode="0.0000"/>
    <numFmt numFmtId="180" formatCode="[$-411]ggge&quot;年&quot;m&quot;月&quot;d&quot;日&quot;;@"/>
  </numFmts>
  <fonts count="23">
    <font>
      <name val="Yu Gothic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ＭＳ Ｐ明朝"/>
      <charset val="128"/>
      <family val="1"/>
      <sz val="11"/>
    </font>
    <font>
      <name val="Yu Gothic"/>
      <charset val="128"/>
      <family val="3"/>
      <sz val="6"/>
      <scheme val="minor"/>
    </font>
    <font>
      <name val="ＭＳ Ｐゴシック"/>
      <charset val="128"/>
      <family val="3"/>
      <sz val="6"/>
    </font>
    <font>
      <name val="ＭＳ Ｐ明朝"/>
      <charset val="128"/>
      <family val="1"/>
      <sz val="12"/>
    </font>
    <font>
      <name val="ＭＳ Ｐ明朝"/>
      <charset val="128"/>
      <family val="1"/>
      <sz val="10"/>
    </font>
    <font>
      <name val="ＭＳ Ｐ明朝"/>
      <charset val="128"/>
      <family val="1"/>
      <sz val="16"/>
    </font>
    <font>
      <name val="ＭＳ Ｐ明朝"/>
      <charset val="128"/>
      <family val="1"/>
      <sz val="11"/>
    </font>
    <font>
      <name val="ＭＳ Ｐゴシック"/>
      <charset val="128"/>
      <family val="3"/>
      <color theme="1"/>
      <sz val="11"/>
    </font>
    <font>
      <name val="ＭＳ Ｐ明朝"/>
      <charset val="128"/>
      <family val="1"/>
      <color theme="1"/>
      <sz val="11"/>
    </font>
    <font>
      <name val="ＭＳ Ｐ明朝"/>
      <charset val="128"/>
      <family val="1"/>
      <sz val="10"/>
    </font>
    <font>
      <name val="ＭＳ Ｐ明朝"/>
      <charset val="128"/>
      <family val="1"/>
      <sz val="24"/>
    </font>
    <font>
      <name val="ＭＳ Ｐ明朝"/>
      <charset val="128"/>
      <family val="1"/>
      <color theme="1"/>
      <sz val="10"/>
    </font>
    <font>
      <name val="ＭＳ Ｐ明朝"/>
      <charset val="128"/>
      <family val="1"/>
      <sz val="9"/>
    </font>
    <font>
      <name val="ＭＳ Ｐ明朝"/>
      <charset val="128"/>
      <family val="1"/>
      <sz val="18"/>
    </font>
    <font>
      <name val="ＭＳ Ｐ明朝"/>
      <charset val="128"/>
      <family val="1"/>
      <sz val="12"/>
    </font>
    <font>
      <name val="ＭＳ Ｐゴシック"/>
      <charset val="128"/>
      <family val="3"/>
      <sz val="11"/>
    </font>
    <font>
      <name val="ＭＳ Ｐ明朝"/>
      <charset val="128"/>
      <family val="1"/>
      <b val="1"/>
      <sz val="10"/>
    </font>
    <font>
      <name val="ＭＳ Ｐ明朝"/>
      <charset val="128"/>
      <family val="1"/>
      <color rgb="FF000000"/>
      <sz val="10"/>
    </font>
    <font>
      <name val="ＭＳ Ｐゴシック"/>
      <charset val="128"/>
      <family val="3"/>
      <color rgb="FF000000"/>
      <sz val="11"/>
    </font>
    <font>
      <name val="ＭＳ Ｐ明朝"/>
      <charset val="128"/>
      <family val="1"/>
      <color rgb="FF000000"/>
      <sz val="11"/>
    </font>
    <font>
      <name val="ＭＳ Ｐ明朝"/>
      <charset val="128"/>
      <family val="1"/>
      <sz val="13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8E6C9"/>
        <bgColor rgb="FFC8E6C9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23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4">
    <xf numFmtId="0" fontId="0" fillId="0" borderId="140"/>
    <xf numFmtId="0" fontId="17" fillId="0" borderId="140"/>
    <xf numFmtId="38" fontId="17" fillId="0" borderId="140"/>
    <xf numFmtId="0" fontId="17" fillId="0" borderId="140" applyAlignment="1">
      <alignment vertical="center"/>
    </xf>
  </cellStyleXfs>
  <cellXfs count="977">
    <xf numFmtId="0" fontId="0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vertical="center"/>
    </xf>
    <xf numFmtId="0" fontId="1" fillId="0" borderId="0" applyAlignment="1" pivotButton="0" quotePrefix="0" xfId="3">
      <alignment vertical="center"/>
    </xf>
    <xf numFmtId="0" fontId="2" fillId="0" borderId="0" applyAlignment="1" pivotButton="0" quotePrefix="0" xfId="1">
      <alignment vertical="center"/>
    </xf>
    <xf numFmtId="0" fontId="6" fillId="2" borderId="0" applyAlignment="1" pivotButton="0" quotePrefix="0" xfId="1">
      <alignment horizontal="center" vertical="center"/>
    </xf>
    <xf numFmtId="0" fontId="6" fillId="2" borderId="0" applyAlignment="1" pivotButton="0" quotePrefix="0" xfId="1">
      <alignment vertical="center"/>
    </xf>
    <xf numFmtId="49" fontId="6" fillId="2" borderId="0" applyAlignment="1" pivotButton="0" quotePrefix="0" xfId="1">
      <alignment vertical="center"/>
    </xf>
    <xf numFmtId="0" fontId="9" fillId="0" borderId="140" pivotButton="0" quotePrefix="0" xfId="0"/>
    <xf numFmtId="164" fontId="10" fillId="0" borderId="88" applyAlignment="1" pivotButton="0" quotePrefix="0" xfId="1">
      <alignment horizontal="center" shrinkToFit="1"/>
    </xf>
    <xf numFmtId="164" fontId="8" fillId="0" borderId="88" applyAlignment="1" pivotButton="0" quotePrefix="0" xfId="1">
      <alignment horizontal="center" shrinkToFit="1"/>
    </xf>
    <xf numFmtId="0" fontId="8" fillId="0" borderId="1" applyAlignment="1" pivotButton="0" quotePrefix="0" xfId="1">
      <alignment horizontal="center"/>
    </xf>
    <xf numFmtId="165" fontId="10" fillId="3" borderId="3" applyAlignment="1" pivotButton="0" quotePrefix="0" xfId="1">
      <alignment horizontal="right"/>
    </xf>
    <xf numFmtId="165" fontId="8" fillId="3" borderId="3" applyAlignment="1" pivotButton="0" quotePrefix="0" xfId="1">
      <alignment horizontal="right"/>
    </xf>
    <xf numFmtId="166" fontId="8" fillId="0" borderId="140" pivotButton="0" quotePrefix="0" xfId="1"/>
    <xf numFmtId="1" fontId="10" fillId="3" borderId="3" applyAlignment="1" pivotButton="0" quotePrefix="0" xfId="1">
      <alignment horizontal="right"/>
    </xf>
    <xf numFmtId="1" fontId="8" fillId="3" borderId="3" applyAlignment="1" pivotButton="0" quotePrefix="0" xfId="1">
      <alignment horizontal="right"/>
    </xf>
    <xf numFmtId="167" fontId="10" fillId="3" borderId="3" applyAlignment="1" pivotButton="0" quotePrefix="0" xfId="1">
      <alignment horizontal="right"/>
    </xf>
    <xf numFmtId="167" fontId="8" fillId="3" borderId="3" applyAlignment="1" pivotButton="0" quotePrefix="0" xfId="1">
      <alignment horizontal="right"/>
    </xf>
    <xf numFmtId="167" fontId="10" fillId="3" borderId="83" applyAlignment="1" pivotButton="0" quotePrefix="0" xfId="1">
      <alignment horizontal="right"/>
    </xf>
    <xf numFmtId="167" fontId="8" fillId="3" borderId="83" applyAlignment="1" pivotButton="0" quotePrefix="0" xfId="1">
      <alignment horizontal="right"/>
    </xf>
    <xf numFmtId="0" fontId="8" fillId="0" borderId="88" applyAlignment="1" pivotButton="0" quotePrefix="0" xfId="1">
      <alignment horizontal="center" vertical="center"/>
    </xf>
    <xf numFmtId="164" fontId="10" fillId="0" borderId="88" applyAlignment="1" pivotButton="0" quotePrefix="0" xfId="1">
      <alignment horizontal="center" vertical="center" shrinkToFit="1"/>
    </xf>
    <xf numFmtId="164" fontId="8" fillId="0" borderId="88" applyAlignment="1" pivotButton="0" quotePrefix="0" xfId="1">
      <alignment horizontal="center" vertical="center" shrinkToFit="1"/>
    </xf>
    <xf numFmtId="0" fontId="8" fillId="0" borderId="3" applyAlignment="1" pivotButton="0" quotePrefix="0" xfId="1">
      <alignment horizontal="center" vertical="center"/>
    </xf>
    <xf numFmtId="0" fontId="13" fillId="0" borderId="3" applyAlignment="1" pivotButton="0" quotePrefix="0" xfId="1">
      <alignment horizontal="center"/>
    </xf>
    <xf numFmtId="0" fontId="11" fillId="0" borderId="3" applyAlignment="1" pivotButton="0" quotePrefix="0" xfId="1">
      <alignment horizontal="center"/>
    </xf>
    <xf numFmtId="0" fontId="8" fillId="0" borderId="1" applyAlignment="1" pivotButton="0" quotePrefix="0" xfId="1">
      <alignment horizontal="center" vertical="center"/>
    </xf>
    <xf numFmtId="0" fontId="8" fillId="0" borderId="77" pivotButton="0" quotePrefix="0" xfId="1"/>
    <xf numFmtId="167" fontId="10" fillId="3" borderId="77" applyAlignment="1" pivotButton="0" quotePrefix="0" xfId="1">
      <alignment horizontal="center"/>
    </xf>
    <xf numFmtId="167" fontId="8" fillId="3" borderId="77" applyAlignment="1" pivotButton="0" quotePrefix="0" xfId="1">
      <alignment horizontal="center"/>
    </xf>
    <xf numFmtId="0" fontId="8" fillId="0" borderId="7" pivotButton="0" quotePrefix="0" xfId="1"/>
    <xf numFmtId="167" fontId="10" fillId="3" borderId="7" applyAlignment="1" pivotButton="0" quotePrefix="0" xfId="1">
      <alignment horizontal="center"/>
    </xf>
    <xf numFmtId="167" fontId="8" fillId="3" borderId="7" applyAlignment="1" pivotButton="0" quotePrefix="0" xfId="1">
      <alignment horizontal="center"/>
    </xf>
    <xf numFmtId="0" fontId="8" fillId="0" borderId="66" pivotButton="0" quotePrefix="0" xfId="1"/>
    <xf numFmtId="167" fontId="10" fillId="3" borderId="66" applyAlignment="1" pivotButton="0" quotePrefix="0" xfId="1">
      <alignment horizontal="center"/>
    </xf>
    <xf numFmtId="167" fontId="8" fillId="3" borderId="66" applyAlignment="1" pivotButton="0" quotePrefix="0" xfId="1">
      <alignment horizontal="center"/>
    </xf>
    <xf numFmtId="0" fontId="10" fillId="3" borderId="93" applyAlignment="1" pivotButton="0" quotePrefix="0" xfId="1">
      <alignment horizontal="center"/>
    </xf>
    <xf numFmtId="0" fontId="8" fillId="3" borderId="93" applyAlignment="1" pivotButton="0" quotePrefix="0" xfId="1">
      <alignment horizontal="center"/>
    </xf>
    <xf numFmtId="0" fontId="8" fillId="0" borderId="140" pivotButton="0" quotePrefix="0" xfId="1"/>
    <xf numFmtId="0" fontId="10" fillId="3" borderId="92" applyAlignment="1" pivotButton="0" quotePrefix="0" xfId="1">
      <alignment horizontal="center"/>
    </xf>
    <xf numFmtId="0" fontId="8" fillId="3" borderId="92" applyAlignment="1" pivotButton="0" quotePrefix="0" xfId="1">
      <alignment horizontal="center"/>
    </xf>
    <xf numFmtId="0" fontId="10" fillId="3" borderId="91" applyAlignment="1" pivotButton="0" quotePrefix="0" xfId="1">
      <alignment horizontal="center"/>
    </xf>
    <xf numFmtId="0" fontId="8" fillId="3" borderId="91" applyAlignment="1" pivotButton="0" quotePrefix="0" xfId="1">
      <alignment horizontal="center"/>
    </xf>
    <xf numFmtId="0" fontId="10" fillId="3" borderId="66" applyAlignment="1" pivotButton="0" quotePrefix="0" xfId="1">
      <alignment horizontal="center"/>
    </xf>
    <xf numFmtId="0" fontId="8" fillId="3" borderId="66" applyAlignment="1" pivotButton="0" quotePrefix="0" xfId="1">
      <alignment horizontal="center"/>
    </xf>
    <xf numFmtId="0" fontId="10" fillId="3" borderId="77" applyAlignment="1" pivotButton="0" quotePrefix="0" xfId="1">
      <alignment horizontal="center"/>
    </xf>
    <xf numFmtId="0" fontId="8" fillId="3" borderId="77" applyAlignment="1" pivotButton="0" quotePrefix="0" xfId="1">
      <alignment horizontal="center"/>
    </xf>
    <xf numFmtId="0" fontId="10" fillId="3" borderId="7" applyAlignment="1" pivotButton="0" quotePrefix="0" xfId="1">
      <alignment horizontal="center"/>
    </xf>
    <xf numFmtId="0" fontId="8" fillId="3" borderId="7" applyAlignment="1" pivotButton="0" quotePrefix="0" xfId="1">
      <alignment horizontal="center"/>
    </xf>
    <xf numFmtId="0" fontId="8" fillId="0" borderId="1" pivotButton="0" quotePrefix="0" xfId="1"/>
    <xf numFmtId="2" fontId="10" fillId="3" borderId="77" applyAlignment="1" pivotButton="0" quotePrefix="0" xfId="1">
      <alignment horizontal="center"/>
    </xf>
    <xf numFmtId="2" fontId="8" fillId="3" borderId="77" applyAlignment="1" pivotButton="0" quotePrefix="0" xfId="1">
      <alignment horizontal="center"/>
    </xf>
    <xf numFmtId="2" fontId="10" fillId="3" borderId="7" applyAlignment="1" pivotButton="0" quotePrefix="0" xfId="1">
      <alignment horizontal="center"/>
    </xf>
    <xf numFmtId="2" fontId="8" fillId="3" borderId="7" applyAlignment="1" pivotButton="0" quotePrefix="0" xfId="1">
      <alignment horizontal="center"/>
    </xf>
    <xf numFmtId="2" fontId="10" fillId="3" borderId="66" applyAlignment="1" pivotButton="0" quotePrefix="0" xfId="1">
      <alignment horizontal="center"/>
    </xf>
    <xf numFmtId="2" fontId="8" fillId="3" borderId="66" applyAlignment="1" pivotButton="0" quotePrefix="0" xfId="1">
      <alignment horizontal="center"/>
    </xf>
    <xf numFmtId="0" fontId="8" fillId="0" borderId="123" applyAlignment="1" pivotButton="0" quotePrefix="0" xfId="1">
      <alignment horizontal="center" vertical="center"/>
    </xf>
    <xf numFmtId="0" fontId="10" fillId="3" borderId="123" applyAlignment="1" pivotButton="0" quotePrefix="0" xfId="1">
      <alignment horizontal="center"/>
    </xf>
    <xf numFmtId="0" fontId="8" fillId="3" borderId="123" applyAlignment="1" pivotButton="0" quotePrefix="0" xfId="1">
      <alignment horizontal="center"/>
    </xf>
    <xf numFmtId="0" fontId="8" fillId="0" borderId="5" applyAlignment="1" pivotButton="0" quotePrefix="0" xfId="1">
      <alignment horizontal="center" vertical="center"/>
    </xf>
    <xf numFmtId="0" fontId="10" fillId="3" borderId="5" applyAlignment="1" pivotButton="0" quotePrefix="0" xfId="1">
      <alignment horizontal="center"/>
    </xf>
    <xf numFmtId="0" fontId="8" fillId="3" borderId="5" applyAlignment="1" pivotButton="0" quotePrefix="0" xfId="1">
      <alignment horizontal="center"/>
    </xf>
    <xf numFmtId="1" fontId="10" fillId="3" borderId="123" applyAlignment="1" pivotButton="0" quotePrefix="0" xfId="1">
      <alignment horizontal="center"/>
    </xf>
    <xf numFmtId="1" fontId="8" fillId="3" borderId="123" applyAlignment="1" pivotButton="0" quotePrefix="0" xfId="1">
      <alignment horizontal="center"/>
    </xf>
    <xf numFmtId="1" fontId="10" fillId="3" borderId="124" applyAlignment="1" pivotButton="0" quotePrefix="0" xfId="1">
      <alignment horizontal="center"/>
    </xf>
    <xf numFmtId="1" fontId="8" fillId="3" borderId="124" applyAlignment="1" pivotButton="0" quotePrefix="0" xfId="1">
      <alignment horizontal="center"/>
    </xf>
    <xf numFmtId="0" fontId="8" fillId="0" borderId="3" pivotButton="0" quotePrefix="0" xfId="1"/>
    <xf numFmtId="0" fontId="10" fillId="3" borderId="3" applyAlignment="1" pivotButton="0" quotePrefix="0" xfId="1">
      <alignment horizontal="center"/>
    </xf>
    <xf numFmtId="0" fontId="8" fillId="3" borderId="3" applyAlignment="1" pivotButton="0" quotePrefix="0" xfId="1">
      <alignment horizontal="center"/>
    </xf>
    <xf numFmtId="0" fontId="12" fillId="0" borderId="140" applyAlignment="1" pivotButton="0" quotePrefix="0" xfId="1">
      <alignment horizontal="center" vertical="center"/>
    </xf>
    <xf numFmtId="0" fontId="8" fillId="0" borderId="140" applyAlignment="1" pivotButton="0" quotePrefix="0" xfId="1">
      <alignment horizontal="center" vertical="center"/>
    </xf>
    <xf numFmtId="0" fontId="8" fillId="0" borderId="140" applyAlignment="1" pivotButton="0" quotePrefix="0" xfId="1">
      <alignment vertical="center" wrapText="1"/>
    </xf>
    <xf numFmtId="168" fontId="8" fillId="0" borderId="140" pivotButton="0" quotePrefix="0" xfId="1"/>
    <xf numFmtId="0" fontId="8" fillId="0" borderId="140" applyAlignment="1" pivotButton="0" quotePrefix="0" xfId="1">
      <alignment vertical="top" textRotation="255"/>
    </xf>
    <xf numFmtId="0" fontId="8" fillId="0" borderId="140" applyAlignment="1" pivotButton="0" quotePrefix="0" xfId="1">
      <alignment vertical="center"/>
    </xf>
    <xf numFmtId="0" fontId="8" fillId="3" borderId="122" applyAlignment="1" pivotButton="0" quotePrefix="0" xfId="1">
      <alignment horizontal="center"/>
    </xf>
    <xf numFmtId="0" fontId="8" fillId="2" borderId="0" applyAlignment="1" pivotButton="0" quotePrefix="0" xfId="1">
      <alignment horizontal="center" vertical="center"/>
    </xf>
    <xf numFmtId="164" fontId="8" fillId="0" borderId="85" applyAlignment="1" pivotButton="0" quotePrefix="0" xfId="1">
      <alignment horizontal="center" shrinkToFit="1"/>
    </xf>
    <xf numFmtId="164" fontId="8" fillId="0" borderId="140" pivotButton="0" quotePrefix="0" xfId="1"/>
    <xf numFmtId="56" fontId="8" fillId="0" borderId="140" pivotButton="0" quotePrefix="0" xfId="1"/>
    <xf numFmtId="165" fontId="8" fillId="3" borderId="1" applyAlignment="1" pivotButton="0" quotePrefix="0" xfId="1">
      <alignment horizontal="right"/>
    </xf>
    <xf numFmtId="49" fontId="8" fillId="0" borderId="140" pivotButton="0" quotePrefix="0" xfId="1"/>
    <xf numFmtId="2" fontId="8" fillId="0" borderId="140" pivotButton="0" quotePrefix="0" xfId="1"/>
    <xf numFmtId="165" fontId="8" fillId="0" borderId="140" pivotButton="0" quotePrefix="0" xfId="1"/>
    <xf numFmtId="1" fontId="8" fillId="3" borderId="1" applyAlignment="1" pivotButton="0" quotePrefix="0" xfId="1">
      <alignment horizontal="right"/>
    </xf>
    <xf numFmtId="167" fontId="8" fillId="0" borderId="140" pivotButton="0" quotePrefix="0" xfId="1"/>
    <xf numFmtId="167" fontId="8" fillId="3" borderId="1" applyAlignment="1" pivotButton="0" quotePrefix="0" xfId="1">
      <alignment horizontal="right"/>
    </xf>
    <xf numFmtId="0" fontId="8" fillId="0" borderId="13" applyAlignment="1" pivotButton="0" quotePrefix="0" xfId="1">
      <alignment horizontal="center"/>
    </xf>
    <xf numFmtId="164" fontId="8" fillId="0" borderId="11" applyAlignment="1" pivotButton="0" quotePrefix="0" xfId="1">
      <alignment horizontal="center" vertical="center" shrinkToFit="1"/>
    </xf>
    <xf numFmtId="164" fontId="10" fillId="0" borderId="5" applyAlignment="1" pivotButton="0" quotePrefix="0" xfId="1">
      <alignment horizontal="center" shrinkToFit="1"/>
    </xf>
    <xf numFmtId="164" fontId="8" fillId="0" borderId="5" applyAlignment="1" pivotButton="0" quotePrefix="0" xfId="1">
      <alignment horizontal="center" shrinkToFit="1"/>
    </xf>
    <xf numFmtId="165" fontId="10" fillId="3" borderId="1" pivotButton="0" quotePrefix="0" xfId="1"/>
    <xf numFmtId="0" fontId="10" fillId="3" borderId="1" pivotButton="0" quotePrefix="0" xfId="1"/>
    <xf numFmtId="167" fontId="10" fillId="3" borderId="1" pivotButton="0" quotePrefix="0" xfId="1"/>
    <xf numFmtId="167" fontId="10" fillId="3" borderId="110" pivotButton="0" quotePrefix="0" xfId="1"/>
    <xf numFmtId="167" fontId="8" fillId="3" borderId="13" applyAlignment="1" pivotButton="0" quotePrefix="0" xfId="1">
      <alignment horizontal="right"/>
    </xf>
    <xf numFmtId="164" fontId="10" fillId="0" borderId="11" applyAlignment="1" pivotButton="0" quotePrefix="0" xfId="1">
      <alignment horizontal="center" vertical="center" shrinkToFit="1"/>
    </xf>
    <xf numFmtId="167" fontId="10" fillId="3" borderId="11" applyAlignment="1" pivotButton="0" quotePrefix="0" xfId="1">
      <alignment horizontal="center"/>
    </xf>
    <xf numFmtId="167" fontId="8" fillId="3" borderId="11" applyAlignment="1" pivotButton="0" quotePrefix="0" xfId="1">
      <alignment horizontal="center"/>
    </xf>
    <xf numFmtId="0" fontId="10" fillId="3" borderId="13" applyAlignment="1" pivotButton="0" quotePrefix="0" xfId="1">
      <alignment horizontal="center"/>
    </xf>
    <xf numFmtId="0" fontId="8" fillId="3" borderId="13" applyAlignment="1" pivotButton="0" quotePrefix="0" xfId="1">
      <alignment horizontal="center"/>
    </xf>
    <xf numFmtId="0" fontId="10" fillId="3" borderId="72" applyAlignment="1" pivotButton="0" quotePrefix="0" xfId="1">
      <alignment horizontal="center"/>
    </xf>
    <xf numFmtId="0" fontId="8" fillId="3" borderId="72" applyAlignment="1" pivotButton="0" quotePrefix="0" xfId="1">
      <alignment horizontal="center"/>
    </xf>
    <xf numFmtId="0" fontId="10" fillId="3" borderId="12" applyAlignment="1" pivotButton="0" quotePrefix="0" xfId="1">
      <alignment horizontal="center"/>
    </xf>
    <xf numFmtId="0" fontId="8" fillId="3" borderId="12" applyAlignment="1" pivotButton="0" quotePrefix="0" xfId="1">
      <alignment horizontal="center"/>
    </xf>
    <xf numFmtId="167" fontId="10" fillId="3" borderId="13" applyAlignment="1" pivotButton="0" quotePrefix="0" xfId="1">
      <alignment horizontal="center"/>
    </xf>
    <xf numFmtId="167" fontId="8" fillId="3" borderId="13" applyAlignment="1" pivotButton="0" quotePrefix="0" xfId="1">
      <alignment horizontal="center"/>
    </xf>
    <xf numFmtId="0" fontId="10" fillId="3" borderId="61" applyAlignment="1" pivotButton="0" quotePrefix="0" xfId="1">
      <alignment horizontal="center"/>
    </xf>
    <xf numFmtId="0" fontId="8" fillId="3" borderId="61" applyAlignment="1" pivotButton="0" quotePrefix="0" xfId="1">
      <alignment horizontal="center"/>
    </xf>
    <xf numFmtId="0" fontId="10" fillId="3" borderId="69" applyAlignment="1" pivotButton="0" quotePrefix="0" xfId="1">
      <alignment horizontal="center"/>
    </xf>
    <xf numFmtId="0" fontId="8" fillId="3" borderId="69" applyAlignment="1" pivotButton="0" quotePrefix="0" xfId="1">
      <alignment horizontal="center"/>
    </xf>
    <xf numFmtId="0" fontId="10" fillId="3" borderId="71" applyAlignment="1" pivotButton="0" quotePrefix="0" xfId="1">
      <alignment horizontal="center"/>
    </xf>
    <xf numFmtId="0" fontId="8" fillId="3" borderId="71" applyAlignment="1" pivotButton="0" quotePrefix="0" xfId="1">
      <alignment horizontal="center"/>
    </xf>
    <xf numFmtId="2" fontId="10" fillId="3" borderId="13" applyAlignment="1" pivotButton="0" quotePrefix="0" xfId="1">
      <alignment horizontal="center"/>
    </xf>
    <xf numFmtId="2" fontId="8" fillId="3" borderId="13" applyAlignment="1" pivotButton="0" quotePrefix="0" xfId="1">
      <alignment horizontal="center"/>
    </xf>
    <xf numFmtId="2" fontId="10" fillId="3" borderId="69" applyAlignment="1" pivotButton="0" quotePrefix="0" xfId="1">
      <alignment horizontal="center"/>
    </xf>
    <xf numFmtId="2" fontId="8" fillId="3" borderId="69" applyAlignment="1" pivotButton="0" quotePrefix="0" xfId="1">
      <alignment horizontal="center"/>
    </xf>
    <xf numFmtId="2" fontId="10" fillId="3" borderId="11" applyAlignment="1" pivotButton="0" quotePrefix="0" xfId="1">
      <alignment horizontal="center"/>
    </xf>
    <xf numFmtId="2" fontId="8" fillId="3" borderId="11" applyAlignment="1" pivotButton="0" quotePrefix="0" xfId="1">
      <alignment horizontal="center"/>
    </xf>
    <xf numFmtId="1" fontId="10" fillId="3" borderId="122" applyAlignment="1" pivotButton="0" quotePrefix="0" xfId="1">
      <alignment horizontal="center"/>
    </xf>
    <xf numFmtId="1" fontId="8" fillId="3" borderId="122" applyAlignment="1" pivotButton="0" quotePrefix="0" xfId="1">
      <alignment horizontal="center"/>
    </xf>
    <xf numFmtId="1" fontId="10" fillId="3" borderId="11" applyAlignment="1" pivotButton="0" quotePrefix="0" xfId="1">
      <alignment horizontal="center"/>
    </xf>
    <xf numFmtId="1" fontId="8" fillId="3" borderId="11" applyAlignment="1" pivotButton="0" quotePrefix="0" xfId="1">
      <alignment horizontal="center"/>
    </xf>
    <xf numFmtId="0" fontId="10" fillId="3" borderId="1" applyAlignment="1" pivotButton="0" quotePrefix="0" xfId="1">
      <alignment horizontal="center"/>
    </xf>
    <xf numFmtId="0" fontId="8" fillId="3" borderId="1" applyAlignment="1" pivotButton="0" quotePrefix="0" xfId="1">
      <alignment horizontal="center"/>
    </xf>
    <xf numFmtId="0" fontId="15" fillId="0" borderId="0" pivotButton="0" quotePrefix="0" xfId="1"/>
    <xf numFmtId="0" fontId="9" fillId="0" borderId="0" pivotButton="0" quotePrefix="0" xfId="0"/>
    <xf numFmtId="0" fontId="17" fillId="0" borderId="140" pivotButton="0" quotePrefix="0" xfId="1"/>
    <xf numFmtId="0" fontId="8" fillId="0" borderId="140" applyAlignment="1" pivotButton="0" quotePrefix="0" xfId="1">
      <alignment horizontal="center"/>
    </xf>
    <xf numFmtId="169" fontId="8" fillId="0" borderId="111" applyAlignment="1" pivotButton="0" quotePrefix="0" xfId="1">
      <alignment horizontal="center"/>
    </xf>
    <xf numFmtId="165" fontId="8" fillId="0" borderId="111" applyAlignment="1" pivotButton="0" quotePrefix="0" xfId="1">
      <alignment horizontal="center" vertical="center" shrinkToFit="1"/>
    </xf>
    <xf numFmtId="167" fontId="8" fillId="0" borderId="111" applyAlignment="1" pivotButton="0" quotePrefix="0" xfId="1">
      <alignment horizontal="center" shrinkToFit="1"/>
    </xf>
    <xf numFmtId="0" fontId="8" fillId="0" borderId="111" applyAlignment="1" pivotButton="0" quotePrefix="0" xfId="1">
      <alignment horizontal="center" shrinkToFit="1"/>
    </xf>
    <xf numFmtId="167" fontId="8" fillId="0" borderId="11" applyAlignment="1" pivotButton="0" quotePrefix="0" xfId="1">
      <alignment vertical="center" shrinkToFit="1"/>
    </xf>
    <xf numFmtId="170" fontId="8" fillId="0" borderId="140" applyAlignment="1" pivotButton="0" quotePrefix="0" xfId="1">
      <alignment horizontal="right" vertical="center" shrinkToFit="1"/>
    </xf>
    <xf numFmtId="167" fontId="8" fillId="0" borderId="140" applyAlignment="1" pivotButton="0" quotePrefix="0" xfId="1">
      <alignment horizontal="right"/>
    </xf>
    <xf numFmtId="169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 vertical="center" shrinkToFit="1"/>
    </xf>
    <xf numFmtId="167" fontId="8" fillId="0" borderId="1" applyAlignment="1" pivotButton="0" quotePrefix="0" xfId="1">
      <alignment horizontal="center" shrinkToFit="1"/>
    </xf>
    <xf numFmtId="2" fontId="8" fillId="0" borderId="1" applyAlignment="1" pivotButton="0" quotePrefix="0" xfId="1">
      <alignment horizontal="center" shrinkToFit="1"/>
    </xf>
    <xf numFmtId="0" fontId="8" fillId="0" borderId="1" applyAlignment="1" pivotButton="0" quotePrefix="0" xfId="1">
      <alignment horizontal="center" shrinkToFit="1"/>
    </xf>
    <xf numFmtId="170" fontId="8" fillId="0" borderId="1" applyAlignment="1" pivotButton="0" quotePrefix="0" xfId="1">
      <alignment horizontal="right" vertical="center" shrinkToFit="1"/>
    </xf>
    <xf numFmtId="167" fontId="8" fillId="0" borderId="1" applyAlignment="1" pivotButton="0" quotePrefix="0" xfId="1">
      <alignment vertical="center" shrinkToFit="1"/>
    </xf>
    <xf numFmtId="167" fontId="8" fillId="0" borderId="1" applyAlignment="1" pivotButton="0" quotePrefix="0" xfId="1">
      <alignment horizontal="right" shrinkToFit="1"/>
    </xf>
    <xf numFmtId="170" fontId="8" fillId="0" borderId="140" applyAlignment="1" pivotButton="0" quotePrefix="0" xfId="1">
      <alignment horizontal="center" vertical="center"/>
    </xf>
    <xf numFmtId="167" fontId="8" fillId="0" borderId="1" applyAlignment="1" pivotButton="0" quotePrefix="0" xfId="1">
      <alignment horizontal="center"/>
    </xf>
    <xf numFmtId="168" fontId="8" fillId="0" borderId="1" applyAlignment="1" pivotButton="0" quotePrefix="0" xfId="1">
      <alignment horizontal="center" shrinkToFit="1"/>
    </xf>
    <xf numFmtId="170" fontId="8" fillId="0" borderId="1" applyAlignment="1" pivotButton="0" quotePrefix="0" xfId="1">
      <alignment horizontal="right"/>
    </xf>
    <xf numFmtId="165" fontId="8" fillId="0" borderId="3" applyAlignment="1" pivotButton="0" quotePrefix="0" xfId="1">
      <alignment horizontal="center"/>
    </xf>
    <xf numFmtId="167" fontId="8" fillId="0" borderId="0" applyAlignment="1" pivotButton="0" quotePrefix="0" xfId="1">
      <alignment horizontal="center"/>
    </xf>
    <xf numFmtId="170" fontId="8" fillId="0" borderId="140" pivotButton="0" quotePrefix="0" xfId="1"/>
    <xf numFmtId="0" fontId="8" fillId="0" borderId="140" applyAlignment="1" pivotButton="0" quotePrefix="0" xfId="1">
      <alignment shrinkToFit="1"/>
    </xf>
    <xf numFmtId="171" fontId="8" fillId="0" borderId="140" applyAlignment="1" pivotButton="0" quotePrefix="0" xfId="1">
      <alignment horizontal="center" vertical="center"/>
    </xf>
    <xf numFmtId="169" fontId="8" fillId="0" borderId="13" applyAlignment="1" pivotButton="0" quotePrefix="0" xfId="1">
      <alignment horizontal="center"/>
    </xf>
    <xf numFmtId="165" fontId="8" fillId="0" borderId="12" applyAlignment="1" pivotButton="0" quotePrefix="0" xfId="1">
      <alignment horizontal="center" vertical="center" shrinkToFit="1"/>
    </xf>
    <xf numFmtId="0" fontId="8" fillId="0" borderId="12" applyAlignment="1" pivotButton="0" quotePrefix="0" xfId="1">
      <alignment horizontal="center" shrinkToFit="1"/>
    </xf>
    <xf numFmtId="2" fontId="8" fillId="0" borderId="12" applyAlignment="1" pivotButton="0" quotePrefix="0" xfId="1">
      <alignment horizontal="center" shrinkToFit="1"/>
    </xf>
    <xf numFmtId="167" fontId="8" fillId="0" borderId="12" applyAlignment="1" pivotButton="0" quotePrefix="0" xfId="1">
      <alignment horizontal="center" shrinkToFit="1"/>
    </xf>
    <xf numFmtId="170" fontId="8" fillId="0" borderId="11" applyAlignment="1" pivotButton="0" quotePrefix="0" xfId="1">
      <alignment horizontal="right" vertical="center" shrinkToFit="1"/>
    </xf>
    <xf numFmtId="167" fontId="8" fillId="0" borderId="11" applyAlignment="1" pivotButton="0" quotePrefix="0" xfId="1">
      <alignment horizontal="right" shrinkToFit="1"/>
    </xf>
    <xf numFmtId="169" fontId="8" fillId="0" borderId="11" applyAlignment="1" pivotButton="0" quotePrefix="0" xfId="1">
      <alignment horizontal="center"/>
    </xf>
    <xf numFmtId="2" fontId="8" fillId="0" borderId="111" applyAlignment="1" pivotButton="0" quotePrefix="0" xfId="2">
      <alignment horizontal="center" shrinkToFit="1"/>
    </xf>
    <xf numFmtId="2" fontId="8" fillId="0" borderId="111" applyAlignment="1" pivotButton="0" quotePrefix="0" xfId="1">
      <alignment horizontal="center" shrinkToFit="1"/>
    </xf>
    <xf numFmtId="2" fontId="8" fillId="0" borderId="111" applyAlignment="1" pivotButton="0" quotePrefix="0" xfId="2">
      <alignment horizontal="center"/>
    </xf>
    <xf numFmtId="2" fontId="8" fillId="0" borderId="140" applyAlignment="1" pivotButton="0" quotePrefix="0" xfId="1">
      <alignment horizontal="center" vertical="center"/>
    </xf>
    <xf numFmtId="2" fontId="8" fillId="0" borderId="1" applyAlignment="1" pivotButton="0" quotePrefix="0" xfId="2">
      <alignment horizontal="center"/>
    </xf>
    <xf numFmtId="2" fontId="8" fillId="0" borderId="1" applyAlignment="1" pivotButton="0" quotePrefix="0" xfId="1">
      <alignment horizontal="center"/>
    </xf>
    <xf numFmtId="167" fontId="14" fillId="0" borderId="1" applyAlignment="1" pivotButton="0" quotePrefix="0" xfId="1">
      <alignment horizontal="center" shrinkToFit="1"/>
    </xf>
    <xf numFmtId="172" fontId="8" fillId="0" borderId="140" applyAlignment="1" pivotButton="0" quotePrefix="0" xfId="1">
      <alignment horizontal="center" vertical="center"/>
    </xf>
    <xf numFmtId="173" fontId="8" fillId="0" borderId="1" applyAlignment="1" pivotButton="0" quotePrefix="0" xfId="1">
      <alignment horizontal="center"/>
    </xf>
    <xf numFmtId="173" fontId="8" fillId="0" borderId="1" applyAlignment="1" pivotButton="0" quotePrefix="0" xfId="1">
      <alignment horizontal="center" vertical="center"/>
    </xf>
    <xf numFmtId="168" fontId="8" fillId="0" borderId="1" applyAlignment="1" pivotButton="0" quotePrefix="0" xfId="1">
      <alignment horizontal="center"/>
    </xf>
    <xf numFmtId="174" fontId="8" fillId="0" borderId="1" applyAlignment="1" pivotButton="0" quotePrefix="0" xfId="1">
      <alignment horizontal="center" vertical="center"/>
    </xf>
    <xf numFmtId="166" fontId="8" fillId="0" borderId="1" applyAlignment="1" pivotButton="0" quotePrefix="0" xfId="1">
      <alignment horizontal="center"/>
    </xf>
    <xf numFmtId="38" fontId="8" fillId="0" borderId="1" applyAlignment="1" pivotButton="0" quotePrefix="0" xfId="2">
      <alignment horizontal="center"/>
    </xf>
    <xf numFmtId="172" fontId="8" fillId="0" borderId="1" applyAlignment="1" pivotButton="0" quotePrefix="0" xfId="1">
      <alignment horizontal="center"/>
    </xf>
    <xf numFmtId="171" fontId="8" fillId="0" borderId="1" applyAlignment="1" pivotButton="0" quotePrefix="0" xfId="1">
      <alignment horizontal="center"/>
    </xf>
    <xf numFmtId="166" fontId="8" fillId="0" borderId="140" applyAlignment="1" pivotButton="0" quotePrefix="0" xfId="1">
      <alignment horizontal="center"/>
    </xf>
    <xf numFmtId="171" fontId="8" fillId="0" borderId="140" applyAlignment="1" pivotButton="0" quotePrefix="0" xfId="1">
      <alignment horizontal="center"/>
    </xf>
    <xf numFmtId="175" fontId="8" fillId="0" borderId="1" applyAlignment="1" pivotButton="0" quotePrefix="0" xfId="1">
      <alignment horizontal="center"/>
    </xf>
    <xf numFmtId="175" fontId="8" fillId="0" borderId="1" applyAlignment="1" pivotButton="0" quotePrefix="0" xfId="1">
      <alignment horizontal="center" vertical="center"/>
    </xf>
    <xf numFmtId="165" fontId="8" fillId="0" borderId="140" applyAlignment="1" pivotButton="0" quotePrefix="0" xfId="1">
      <alignment horizontal="center" vertical="center" shrinkToFit="1"/>
    </xf>
    <xf numFmtId="167" fontId="8" fillId="0" borderId="140" applyAlignment="1" pivotButton="0" quotePrefix="0" xfId="1">
      <alignment horizontal="center" vertical="center" shrinkToFit="1"/>
    </xf>
    <xf numFmtId="165" fontId="8" fillId="0" borderId="140" applyAlignment="1" pivotButton="0" quotePrefix="0" xfId="1">
      <alignment horizontal="center"/>
    </xf>
    <xf numFmtId="0" fontId="15" fillId="2" borderId="0" pivotButton="0" quotePrefix="0" xfId="1"/>
    <xf numFmtId="0" fontId="8" fillId="2" borderId="0" applyAlignment="1" pivotButton="0" quotePrefix="0" xfId="1">
      <alignment horizontal="center"/>
    </xf>
    <xf numFmtId="0" fontId="8" fillId="2" borderId="0" pivotButton="0" quotePrefix="0" xfId="1"/>
    <xf numFmtId="0" fontId="8" fillId="2" borderId="25" applyAlignment="1" pivotButton="0" quotePrefix="0" xfId="1">
      <alignment horizontal="center" vertical="center"/>
    </xf>
    <xf numFmtId="0" fontId="8" fillId="0" borderId="140" applyAlignment="1" pivotButton="0" quotePrefix="0" xfId="1">
      <alignment horizontal="center" vertical="center" shrinkToFit="1"/>
    </xf>
    <xf numFmtId="0" fontId="8" fillId="2" borderId="36" applyAlignment="1" pivotButton="0" quotePrefix="0" xfId="1">
      <alignment horizontal="center" vertical="center"/>
    </xf>
    <xf numFmtId="0" fontId="8" fillId="2" borderId="13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8" fillId="2" borderId="117" applyAlignment="1" pivotButton="0" quotePrefix="0" xfId="1">
      <alignment horizontal="center" vertical="center"/>
    </xf>
    <xf numFmtId="176" fontId="8" fillId="0" borderId="111" applyAlignment="1" pivotButton="0" quotePrefix="0" xfId="1">
      <alignment horizontal="center"/>
    </xf>
    <xf numFmtId="167" fontId="8" fillId="0" borderId="111" applyAlignment="1" pivotButton="0" quotePrefix="0" xfId="1">
      <alignment horizontal="center" vertical="center" shrinkToFit="1"/>
    </xf>
    <xf numFmtId="167" fontId="8" fillId="0" borderId="111" applyAlignment="1" pivotButton="0" quotePrefix="0" xfId="1">
      <alignment horizontal="center"/>
    </xf>
    <xf numFmtId="167" fontId="8" fillId="0" borderId="112" applyAlignment="1" pivotButton="0" quotePrefix="0" xfId="1">
      <alignment horizontal="center" vertical="center" shrinkToFit="1"/>
    </xf>
    <xf numFmtId="0" fontId="8" fillId="0" borderId="4" applyAlignment="1" pivotButton="0" quotePrefix="0" xfId="1">
      <alignment horizontal="center" vertical="center" shrinkToFit="1"/>
    </xf>
    <xf numFmtId="0" fontId="8" fillId="0" borderId="11" applyAlignment="1" pivotButton="0" quotePrefix="0" xfId="1">
      <alignment horizontal="center" vertical="center" shrinkToFit="1"/>
    </xf>
    <xf numFmtId="167" fontId="8" fillId="0" borderId="11" applyAlignment="1" pivotButton="0" quotePrefix="0" xfId="1">
      <alignment horizontal="center" vertical="center" shrinkToFit="1"/>
    </xf>
    <xf numFmtId="167" fontId="8" fillId="0" borderId="5" applyAlignment="1" pivotButton="0" quotePrefix="0" xfId="1">
      <alignment horizontal="center" vertical="center" shrinkToFit="1"/>
    </xf>
    <xf numFmtId="167" fontId="8" fillId="0" borderId="115" applyAlignment="1" pivotButton="0" quotePrefix="0" xfId="1">
      <alignment horizontal="center" vertical="center" shrinkToFit="1"/>
    </xf>
    <xf numFmtId="167" fontId="8" fillId="0" borderId="113" applyAlignment="1" pivotButton="0" quotePrefix="0" xfId="1">
      <alignment horizontal="center"/>
    </xf>
    <xf numFmtId="176" fontId="8" fillId="0" borderId="1" applyAlignment="1" pivotButton="0" quotePrefix="0" xfId="1">
      <alignment horizontal="center"/>
    </xf>
    <xf numFmtId="167" fontId="8" fillId="0" borderId="1" applyAlignment="1" pivotButton="0" quotePrefix="0" xfId="1">
      <alignment horizontal="center" vertical="center" shrinkToFit="1"/>
    </xf>
    <xf numFmtId="167" fontId="8" fillId="3" borderId="1" applyAlignment="1" pivotButton="0" quotePrefix="0" xfId="1">
      <alignment horizontal="center"/>
    </xf>
    <xf numFmtId="167" fontId="8" fillId="0" borderId="19" applyAlignment="1" pivotButton="0" quotePrefix="0" xfId="1">
      <alignment horizontal="center" vertical="center" shrinkToFit="1"/>
    </xf>
    <xf numFmtId="0" fontId="8" fillId="0" borderId="2" applyAlignment="1" pivotButton="0" quotePrefix="0" xfId="1">
      <alignment horizontal="center" vertical="center" shrinkToFit="1"/>
    </xf>
    <xf numFmtId="0" fontId="8" fillId="0" borderId="1" applyAlignment="1" pivotButton="0" quotePrefix="0" xfId="1">
      <alignment horizontal="center" vertical="center" shrinkToFit="1"/>
    </xf>
    <xf numFmtId="167" fontId="8" fillId="0" borderId="3" applyAlignment="1" pivotButton="0" quotePrefix="0" xfId="1">
      <alignment horizontal="center" vertical="center" shrinkToFit="1"/>
    </xf>
    <xf numFmtId="167" fontId="8" fillId="0" borderId="18" applyAlignment="1" pivotButton="0" quotePrefix="0" xfId="1">
      <alignment horizontal="center" vertical="center" shrinkToFit="1"/>
    </xf>
    <xf numFmtId="167" fontId="8" fillId="3" borderId="2" applyAlignment="1" pivotButton="0" quotePrefix="0" xfId="1">
      <alignment horizontal="center"/>
    </xf>
    <xf numFmtId="167" fontId="8" fillId="0" borderId="2" applyAlignment="1" pivotButton="0" quotePrefix="0" xfId="1">
      <alignment horizontal="center"/>
    </xf>
    <xf numFmtId="167" fontId="8" fillId="3" borderId="1" applyAlignment="1" pivotButton="0" quotePrefix="0" xfId="1">
      <alignment horizontal="center" shrinkToFit="1"/>
    </xf>
    <xf numFmtId="167" fontId="8" fillId="0" borderId="1" applyAlignment="1" pivotButton="0" quotePrefix="0" xfId="1">
      <alignment horizontal="center" vertical="center"/>
    </xf>
    <xf numFmtId="167" fontId="8" fillId="3" borderId="1" applyAlignment="1" pivotButton="0" quotePrefix="0" xfId="1">
      <alignment horizontal="center" vertical="center"/>
    </xf>
    <xf numFmtId="0" fontId="8" fillId="0" borderId="19" applyAlignment="1" pivotButton="0" quotePrefix="0" xfId="1">
      <alignment horizontal="center" vertical="center"/>
    </xf>
    <xf numFmtId="0" fontId="8" fillId="3" borderId="1" applyAlignment="1" pivotButton="0" quotePrefix="0" xfId="1">
      <alignment horizontal="center" vertical="center"/>
    </xf>
    <xf numFmtId="167" fontId="8" fillId="0" borderId="19" applyAlignment="1" pivotButton="0" quotePrefix="0" xfId="1">
      <alignment horizontal="center" vertical="center"/>
    </xf>
    <xf numFmtId="167" fontId="8" fillId="0" borderId="66" applyAlignment="1" pivotButton="0" quotePrefix="0" xfId="1">
      <alignment horizontal="center"/>
    </xf>
    <xf numFmtId="167" fontId="8" fillId="0" borderId="3" applyAlignment="1" pivotButton="0" quotePrefix="0" xfId="1">
      <alignment horizontal="center"/>
    </xf>
    <xf numFmtId="167" fontId="8" fillId="3" borderId="3" applyAlignment="1" pivotButton="0" quotePrefix="0" xfId="1">
      <alignment horizontal="center"/>
    </xf>
    <xf numFmtId="176" fontId="8" fillId="0" borderId="12" applyAlignment="1" pivotButton="0" quotePrefix="0" xfId="1">
      <alignment horizontal="center"/>
    </xf>
    <xf numFmtId="169" fontId="8" fillId="0" borderId="12" applyAlignment="1" pivotButton="0" quotePrefix="0" xfId="1">
      <alignment horizontal="center"/>
    </xf>
    <xf numFmtId="167" fontId="8" fillId="0" borderId="12" applyAlignment="1" pivotButton="0" quotePrefix="0" xfId="1">
      <alignment horizontal="center" vertical="center" shrinkToFit="1"/>
    </xf>
    <xf numFmtId="167" fontId="8" fillId="3" borderId="15" applyAlignment="1" pivotButton="0" quotePrefix="0" xfId="1">
      <alignment horizontal="center"/>
    </xf>
    <xf numFmtId="167" fontId="8" fillId="3" borderId="12" applyAlignment="1" pivotButton="0" quotePrefix="0" xfId="1">
      <alignment horizontal="center" shrinkToFit="1"/>
    </xf>
    <xf numFmtId="167" fontId="8" fillId="0" borderId="32" applyAlignment="1" pivotButton="0" quotePrefix="0" xfId="1">
      <alignment horizontal="center" vertical="center" shrinkToFit="1"/>
    </xf>
    <xf numFmtId="0" fontId="8" fillId="0" borderId="8" applyAlignment="1" pivotButton="0" quotePrefix="0" xfId="1">
      <alignment horizontal="center" vertical="center" shrinkToFit="1"/>
    </xf>
    <xf numFmtId="0" fontId="8" fillId="0" borderId="13" applyAlignment="1" pivotButton="0" quotePrefix="0" xfId="1">
      <alignment horizontal="center" vertical="center" shrinkToFit="1"/>
    </xf>
    <xf numFmtId="167" fontId="8" fillId="0" borderId="13" applyAlignment="1" pivotButton="0" quotePrefix="0" xfId="1">
      <alignment horizontal="center" vertical="center" shrinkToFit="1"/>
    </xf>
    <xf numFmtId="167" fontId="8" fillId="0" borderId="9" applyAlignment="1" pivotButton="0" quotePrefix="0" xfId="1">
      <alignment horizontal="center" vertical="center" shrinkToFit="1"/>
    </xf>
    <xf numFmtId="167" fontId="8" fillId="0" borderId="25" applyAlignment="1" pivotButton="0" quotePrefix="0" xfId="1">
      <alignment horizontal="center" vertical="center" shrinkToFit="1"/>
    </xf>
    <xf numFmtId="167" fontId="8" fillId="3" borderId="8" applyAlignment="1" pivotButton="0" quotePrefix="0" xfId="1">
      <alignment horizontal="center"/>
    </xf>
    <xf numFmtId="167" fontId="8" fillId="0" borderId="8" applyAlignment="1" pivotButton="0" quotePrefix="0" xfId="1">
      <alignment horizontal="center"/>
    </xf>
    <xf numFmtId="0" fontId="8" fillId="0" borderId="111" applyAlignment="1" pivotButton="0" quotePrefix="0" xfId="1">
      <alignment horizontal="center"/>
    </xf>
    <xf numFmtId="0" fontId="8" fillId="0" borderId="115" applyAlignment="1" pivotButton="0" quotePrefix="0" xfId="1">
      <alignment horizontal="center"/>
    </xf>
    <xf numFmtId="0" fontId="8" fillId="0" borderId="112" applyAlignment="1" pivotButton="0" quotePrefix="0" xfId="1">
      <alignment horizontal="center"/>
    </xf>
    <xf numFmtId="0" fontId="8" fillId="0" borderId="18" applyAlignment="1" pivotButton="0" quotePrefix="0" xfId="1">
      <alignment horizontal="center"/>
    </xf>
    <xf numFmtId="0" fontId="8" fillId="0" borderId="19" applyAlignment="1" pivotButton="0" quotePrefix="0" xfId="1">
      <alignment horizontal="center"/>
    </xf>
    <xf numFmtId="0" fontId="8" fillId="2" borderId="26" applyAlignment="1" pivotButton="0" quotePrefix="0" xfId="1">
      <alignment horizontal="center" vertical="center"/>
    </xf>
    <xf numFmtId="0" fontId="8" fillId="2" borderId="31" applyAlignment="1" pivotButton="0" quotePrefix="0" xfId="1">
      <alignment horizontal="center" vertical="center" shrinkToFit="1"/>
    </xf>
    <xf numFmtId="0" fontId="8" fillId="2" borderId="23" applyAlignment="1" pivotButton="0" quotePrefix="0" xfId="1">
      <alignment horizontal="center" vertical="center"/>
    </xf>
    <xf numFmtId="0" fontId="8" fillId="2" borderId="27" applyAlignment="1" pivotButton="0" quotePrefix="0" xfId="1">
      <alignment horizontal="center" vertical="center"/>
    </xf>
    <xf numFmtId="0" fontId="8" fillId="2" borderId="32" applyAlignment="1" pivotButton="0" quotePrefix="0" xfId="1">
      <alignment horizontal="center" vertical="center"/>
    </xf>
    <xf numFmtId="169" fontId="8" fillId="0" borderId="114" applyAlignment="1" pivotButton="0" quotePrefix="0" xfId="1">
      <alignment horizontal="center"/>
    </xf>
    <xf numFmtId="0" fontId="8" fillId="0" borderId="114" applyAlignment="1" pivotButton="0" quotePrefix="0" xfId="1">
      <alignment horizontal="center" shrinkToFit="1"/>
    </xf>
    <xf numFmtId="2" fontId="8" fillId="0" borderId="115" applyAlignment="1" pivotButton="0" quotePrefix="0" xfId="1">
      <alignment horizontal="center" vertical="center" shrinkToFit="1"/>
    </xf>
    <xf numFmtId="2" fontId="8" fillId="0" borderId="113" applyAlignment="1" pivotButton="0" quotePrefix="0" xfId="1">
      <alignment horizontal="center" vertical="center" shrinkToFit="1"/>
    </xf>
    <xf numFmtId="0" fontId="8" fillId="0" borderId="116" applyAlignment="1" pivotButton="0" quotePrefix="0" xfId="1">
      <alignment horizontal="center"/>
    </xf>
    <xf numFmtId="1" fontId="8" fillId="0" borderId="111" applyAlignment="1" pivotButton="0" quotePrefix="0" xfId="1">
      <alignment horizontal="center" shrinkToFit="1"/>
    </xf>
    <xf numFmtId="0" fontId="8" fillId="0" borderId="140" applyAlignment="1" pivotButton="0" quotePrefix="0" xfId="1">
      <alignment horizontal="center" shrinkToFit="1"/>
    </xf>
    <xf numFmtId="169" fontId="8" fillId="0" borderId="3" applyAlignment="1" pivotButton="0" quotePrefix="0" xfId="1">
      <alignment horizontal="center"/>
    </xf>
    <xf numFmtId="0" fontId="8" fillId="0" borderId="3" applyAlignment="1" pivotButton="0" quotePrefix="0" xfId="1">
      <alignment horizontal="center" shrinkToFit="1"/>
    </xf>
    <xf numFmtId="2" fontId="8" fillId="0" borderId="18" applyAlignment="1" pivotButton="0" quotePrefix="0" xfId="1">
      <alignment horizontal="center" vertical="center" shrinkToFit="1"/>
    </xf>
    <xf numFmtId="2" fontId="8" fillId="0" borderId="2" applyAlignment="1" pivotButton="0" quotePrefix="0" xfId="1">
      <alignment horizontal="center" vertical="center" shrinkToFit="1"/>
    </xf>
    <xf numFmtId="2" fontId="8" fillId="3" borderId="1" applyAlignment="1" pivotButton="0" quotePrefix="0" xfId="1">
      <alignment horizontal="center" shrinkToFit="1"/>
    </xf>
    <xf numFmtId="0" fontId="8" fillId="0" borderId="20" applyAlignment="1" pivotButton="0" quotePrefix="0" xfId="1">
      <alignment horizontal="center"/>
    </xf>
    <xf numFmtId="1" fontId="8" fillId="0" borderId="1" applyAlignment="1" pivotButton="0" quotePrefix="0" xfId="1">
      <alignment horizontal="center" shrinkToFit="1"/>
    </xf>
    <xf numFmtId="2" fontId="8" fillId="0" borderId="21" applyAlignment="1" pivotButton="0" quotePrefix="0" xfId="1">
      <alignment horizontal="center" vertical="center" shrinkToFit="1"/>
    </xf>
    <xf numFmtId="2" fontId="8" fillId="0" borderId="1" applyAlignment="1" pivotButton="0" quotePrefix="0" xfId="1">
      <alignment horizontal="center" vertical="center" shrinkToFit="1"/>
    </xf>
    <xf numFmtId="2" fontId="8" fillId="3" borderId="3" applyAlignment="1" pivotButton="0" quotePrefix="0" xfId="1">
      <alignment horizontal="center" shrinkToFit="1"/>
    </xf>
    <xf numFmtId="2" fontId="8" fillId="0" borderId="19" applyAlignment="1" pivotButton="0" quotePrefix="0" xfId="1">
      <alignment horizontal="center" vertical="center" shrinkToFit="1"/>
    </xf>
    <xf numFmtId="1" fontId="8" fillId="0" borderId="18" applyAlignment="1" pivotButton="0" quotePrefix="0" xfId="1">
      <alignment horizontal="center" vertical="center" shrinkToFit="1"/>
    </xf>
    <xf numFmtId="1" fontId="8" fillId="0" borderId="2" applyAlignment="1" pivotButton="0" quotePrefix="0" xfId="1">
      <alignment horizontal="center" vertical="center" shrinkToFit="1"/>
    </xf>
    <xf numFmtId="2" fontId="8" fillId="0" borderId="3" applyAlignment="1" pivotButton="0" quotePrefix="0" xfId="1">
      <alignment horizontal="center" shrinkToFit="1"/>
    </xf>
    <xf numFmtId="2" fontId="8" fillId="3" borderId="1" applyAlignment="1" pivotButton="0" quotePrefix="0" xfId="1">
      <alignment horizontal="center" vertical="center" shrinkToFit="1"/>
    </xf>
    <xf numFmtId="2" fontId="8" fillId="3" borderId="2" applyAlignment="1" pivotButton="0" quotePrefix="0" xfId="1">
      <alignment horizontal="center" vertical="center" shrinkToFit="1"/>
    </xf>
    <xf numFmtId="1" fontId="8" fillId="0" borderId="1" applyAlignment="1" pivotButton="0" quotePrefix="0" xfId="1">
      <alignment horizontal="center" vertical="center" shrinkToFit="1"/>
    </xf>
    <xf numFmtId="0" fontId="8" fillId="0" borderId="13" applyAlignment="1" pivotButton="0" quotePrefix="0" xfId="1">
      <alignment horizontal="center" shrinkToFit="1"/>
    </xf>
    <xf numFmtId="0" fontId="8" fillId="0" borderId="9" applyAlignment="1" pivotButton="0" quotePrefix="0" xfId="1">
      <alignment horizontal="center" shrinkToFit="1"/>
    </xf>
    <xf numFmtId="2" fontId="8" fillId="0" borderId="36" applyAlignment="1" pivotButton="0" quotePrefix="0" xfId="1">
      <alignment horizontal="center" vertical="center" shrinkToFit="1"/>
    </xf>
    <xf numFmtId="2" fontId="8" fillId="0" borderId="14" applyAlignment="1" pivotButton="0" quotePrefix="0" xfId="1">
      <alignment horizontal="center" vertical="center" shrinkToFit="1"/>
    </xf>
    <xf numFmtId="2" fontId="8" fillId="0" borderId="28" applyAlignment="1" pivotButton="0" quotePrefix="0" xfId="1">
      <alignment horizontal="center" vertical="center" shrinkToFit="1"/>
    </xf>
    <xf numFmtId="2" fontId="8" fillId="0" borderId="12" applyAlignment="1" pivotButton="0" quotePrefix="0" xfId="1">
      <alignment horizontal="center" vertical="center" shrinkToFit="1"/>
    </xf>
    <xf numFmtId="2" fontId="8" fillId="3" borderId="12" applyAlignment="1" pivotButton="0" quotePrefix="0" xfId="1">
      <alignment horizontal="center" vertical="center" shrinkToFit="1"/>
    </xf>
    <xf numFmtId="2" fontId="8" fillId="3" borderId="14" applyAlignment="1" pivotButton="0" quotePrefix="0" xfId="1">
      <alignment horizontal="center" vertical="center" shrinkToFit="1"/>
    </xf>
    <xf numFmtId="2" fontId="8" fillId="0" borderId="32" applyAlignment="1" pivotButton="0" quotePrefix="0" xfId="1">
      <alignment horizontal="center" vertical="center" shrinkToFit="1"/>
    </xf>
    <xf numFmtId="0" fontId="8" fillId="0" borderId="26" applyAlignment="1" pivotButton="0" quotePrefix="0" xfId="1">
      <alignment horizontal="center"/>
    </xf>
    <xf numFmtId="1" fontId="8" fillId="0" borderId="36" applyAlignment="1" pivotButton="0" quotePrefix="0" xfId="1">
      <alignment horizontal="center" vertical="center" shrinkToFit="1"/>
    </xf>
    <xf numFmtId="1" fontId="8" fillId="0" borderId="12" applyAlignment="1" pivotButton="0" quotePrefix="0" xfId="1">
      <alignment horizontal="center" vertical="center" shrinkToFit="1"/>
    </xf>
    <xf numFmtId="2" fontId="8" fillId="0" borderId="115" applyAlignment="1" pivotButton="0" quotePrefix="0" xfId="1">
      <alignment horizontal="center"/>
    </xf>
    <xf numFmtId="2" fontId="8" fillId="0" borderId="112" applyAlignment="1" pivotButton="0" quotePrefix="0" xfId="1">
      <alignment horizontal="center"/>
    </xf>
    <xf numFmtId="2" fontId="8" fillId="0" borderId="113" applyAlignment="1" pivotButton="0" quotePrefix="0" xfId="1">
      <alignment horizontal="center" shrinkToFit="1"/>
    </xf>
    <xf numFmtId="2" fontId="8" fillId="0" borderId="120" applyAlignment="1" pivotButton="0" quotePrefix="0" xfId="1">
      <alignment horizontal="center" shrinkToFit="1"/>
    </xf>
    <xf numFmtId="167" fontId="8" fillId="0" borderId="116" applyAlignment="1" pivotButton="0" quotePrefix="0" xfId="1">
      <alignment horizontal="center" shrinkToFit="1"/>
    </xf>
    <xf numFmtId="1" fontId="8" fillId="0" borderId="113" applyAlignment="1" pivotButton="0" quotePrefix="0" xfId="1">
      <alignment horizontal="center" shrinkToFit="1"/>
    </xf>
    <xf numFmtId="0" fontId="8" fillId="0" borderId="3" applyAlignment="1" pivotButton="0" quotePrefix="0" xfId="1">
      <alignment horizontal="center"/>
    </xf>
    <xf numFmtId="2" fontId="8" fillId="0" borderId="18" applyAlignment="1" pivotButton="0" quotePrefix="0" xfId="1">
      <alignment horizontal="center"/>
    </xf>
    <xf numFmtId="2" fontId="8" fillId="0" borderId="19" applyAlignment="1" pivotButton="0" quotePrefix="0" xfId="1">
      <alignment horizontal="center"/>
    </xf>
    <xf numFmtId="2" fontId="8" fillId="0" borderId="2" applyAlignment="1" pivotButton="0" quotePrefix="0" xfId="1">
      <alignment horizontal="center"/>
    </xf>
    <xf numFmtId="2" fontId="8" fillId="0" borderId="17" applyAlignment="1" pivotButton="0" quotePrefix="0" xfId="1">
      <alignment horizontal="center"/>
    </xf>
    <xf numFmtId="167" fontId="8" fillId="0" borderId="20" applyAlignment="1" pivotButton="0" quotePrefix="0" xfId="1">
      <alignment horizontal="center"/>
    </xf>
    <xf numFmtId="1" fontId="8" fillId="0" borderId="2" applyAlignment="1" pivotButton="0" quotePrefix="0" xfId="1">
      <alignment horizontal="center"/>
    </xf>
    <xf numFmtId="2" fontId="8" fillId="0" borderId="3" applyAlignment="1" pivotButton="0" quotePrefix="0" xfId="1">
      <alignment horizontal="center"/>
    </xf>
    <xf numFmtId="1" fontId="8" fillId="0" borderId="1" applyAlignment="1" pivotButton="0" quotePrefix="0" xfId="1">
      <alignment horizontal="center"/>
    </xf>
    <xf numFmtId="1" fontId="8" fillId="0" borderId="140" pivotButton="0" quotePrefix="0" xfId="1"/>
    <xf numFmtId="0" fontId="15" fillId="2" borderId="0" applyAlignment="1" pivotButton="0" quotePrefix="0" xfId="1">
      <alignment vertical="center"/>
    </xf>
    <xf numFmtId="0" fontId="8" fillId="2" borderId="0" applyAlignment="1" pivotButton="0" quotePrefix="0" xfId="1">
      <alignment vertical="center"/>
    </xf>
    <xf numFmtId="0" fontId="11" fillId="0" borderId="1" applyAlignment="1" pivotButton="0" quotePrefix="0" xfId="1">
      <alignment horizontal="center" vertical="center"/>
    </xf>
    <xf numFmtId="0" fontId="13" fillId="0" borderId="1" applyAlignment="1" pivotButton="0" quotePrefix="0" xfId="1">
      <alignment horizontal="center" vertical="center"/>
    </xf>
    <xf numFmtId="177" fontId="13" fillId="0" borderId="1" applyAlignment="1" pivotButton="0" quotePrefix="0" xfId="1">
      <alignment horizontal="center" vertical="center"/>
    </xf>
    <xf numFmtId="177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vertical="center"/>
    </xf>
    <xf numFmtId="0" fontId="11" fillId="0" borderId="3" applyAlignment="1" pivotButton="0" quotePrefix="0" xfId="1">
      <alignment vertical="center"/>
    </xf>
    <xf numFmtId="0" fontId="11" fillId="2" borderId="2" applyAlignment="1" pivotButton="0" quotePrefix="0" xfId="1">
      <alignment horizontal="center" vertical="center"/>
    </xf>
    <xf numFmtId="0" fontId="13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1" fillId="0" borderId="9" applyAlignment="1" pivotButton="0" quotePrefix="0" xfId="1">
      <alignment vertical="center"/>
    </xf>
    <xf numFmtId="0" fontId="11" fillId="2" borderId="8" applyAlignment="1" pivotButton="0" quotePrefix="0" xfId="1">
      <alignment horizontal="center" vertical="center"/>
    </xf>
    <xf numFmtId="167" fontId="13" fillId="3" borderId="13" applyAlignment="1" pivotButton="0" quotePrefix="0" xfId="1">
      <alignment horizontal="center" vertical="center"/>
    </xf>
    <xf numFmtId="167" fontId="11" fillId="3" borderId="13" applyAlignment="1" pivotButton="0" quotePrefix="0" xfId="1">
      <alignment horizontal="center" vertical="center"/>
    </xf>
    <xf numFmtId="0" fontId="11" fillId="0" borderId="39" applyAlignment="1" pivotButton="0" quotePrefix="0" xfId="1">
      <alignment vertical="center"/>
    </xf>
    <xf numFmtId="0" fontId="11" fillId="2" borderId="38" applyAlignment="1" pivotButton="0" quotePrefix="0" xfId="1">
      <alignment horizontal="center" vertical="center"/>
    </xf>
    <xf numFmtId="0" fontId="13" fillId="3" borderId="40" applyAlignment="1" pivotButton="0" quotePrefix="0" xfId="1">
      <alignment horizontal="center" vertical="center"/>
    </xf>
    <xf numFmtId="0" fontId="11" fillId="3" borderId="40" applyAlignment="1" pivotButton="0" quotePrefix="0" xfId="1">
      <alignment horizontal="center" vertical="center"/>
    </xf>
    <xf numFmtId="0" fontId="11" fillId="0" borderId="5" applyAlignment="1" pivotButton="0" quotePrefix="0" xfId="1">
      <alignment vertical="center"/>
    </xf>
    <xf numFmtId="0" fontId="11" fillId="2" borderId="4" applyAlignment="1" pivotButton="0" quotePrefix="0" xfId="1">
      <alignment horizontal="center" vertical="center"/>
    </xf>
    <xf numFmtId="0" fontId="13" fillId="3" borderId="11" applyAlignment="1" pivotButton="0" quotePrefix="0" xfId="1">
      <alignment horizontal="center" vertical="center"/>
    </xf>
    <xf numFmtId="0" fontId="11" fillId="3" borderId="11" applyAlignment="1" pivotButton="0" quotePrefix="0" xfId="1">
      <alignment horizontal="center" vertical="center"/>
    </xf>
    <xf numFmtId="0" fontId="13" fillId="3" borderId="49" applyAlignment="1" pivotButton="0" quotePrefix="0" xfId="1">
      <alignment horizontal="center" vertical="center"/>
    </xf>
    <xf numFmtId="0" fontId="11" fillId="3" borderId="49" applyAlignment="1" pivotButton="0" quotePrefix="0" xfId="1">
      <alignment horizontal="center" vertical="center"/>
    </xf>
    <xf numFmtId="0" fontId="13" fillId="3" borderId="37" applyAlignment="1" pivotButton="0" quotePrefix="0" xfId="1">
      <alignment horizontal="center" vertical="center"/>
    </xf>
    <xf numFmtId="0" fontId="11" fillId="3" borderId="37" applyAlignment="1" pivotButton="0" quotePrefix="0" xfId="1">
      <alignment horizontal="center" vertical="center"/>
    </xf>
    <xf numFmtId="0" fontId="13" fillId="3" borderId="43" applyAlignment="1" pivotButton="0" quotePrefix="0" xfId="1">
      <alignment horizontal="center" vertical="center"/>
    </xf>
    <xf numFmtId="0" fontId="11" fillId="3" borderId="43" applyAlignment="1" pivotButton="0" quotePrefix="0" xfId="1">
      <alignment horizontal="center" vertical="center"/>
    </xf>
    <xf numFmtId="0" fontId="13" fillId="3" borderId="12" applyAlignment="1" pivotButton="0" quotePrefix="0" xfId="1">
      <alignment horizontal="center" vertical="center"/>
    </xf>
    <xf numFmtId="0" fontId="11" fillId="3" borderId="12" applyAlignment="1" pivotButton="0" quotePrefix="0" xfId="1">
      <alignment horizontal="center" vertical="center"/>
    </xf>
    <xf numFmtId="0" fontId="11" fillId="0" borderId="15" applyAlignment="1" pivotButton="0" quotePrefix="0" xfId="1">
      <alignment vertical="center"/>
    </xf>
    <xf numFmtId="0" fontId="11" fillId="2" borderId="14" applyAlignment="1" pivotButton="0" quotePrefix="0" xfId="1">
      <alignment horizontal="center" vertical="center"/>
    </xf>
    <xf numFmtId="0" fontId="13" fillId="3" borderId="13" applyAlignment="1" pivotButton="0" quotePrefix="0" xfId="1">
      <alignment horizontal="center" vertical="center"/>
    </xf>
    <xf numFmtId="0" fontId="11" fillId="3" borderId="13" applyAlignment="1" pivotButton="0" quotePrefix="0" xfId="1">
      <alignment horizontal="center" vertical="center"/>
    </xf>
    <xf numFmtId="0" fontId="11" fillId="0" borderId="42" applyAlignment="1" pivotButton="0" quotePrefix="0" xfId="1">
      <alignment vertical="center"/>
    </xf>
    <xf numFmtId="0" fontId="11" fillId="2" borderId="41" applyAlignment="1" pivotButton="0" quotePrefix="0" xfId="1">
      <alignment horizontal="center" vertical="center"/>
    </xf>
    <xf numFmtId="0" fontId="11" fillId="0" borderId="13" applyAlignment="1" pivotButton="0" quotePrefix="0" xfId="1">
      <alignment horizontal="center" vertical="center"/>
    </xf>
    <xf numFmtId="0" fontId="11" fillId="0" borderId="37" applyAlignment="1" pivotButton="0" quotePrefix="0" xfId="1">
      <alignment horizontal="center" vertical="center"/>
    </xf>
    <xf numFmtId="2" fontId="13" fillId="3" borderId="43" applyAlignment="1" pivotButton="0" quotePrefix="0" xfId="1">
      <alignment horizontal="center" vertical="center"/>
    </xf>
    <xf numFmtId="2" fontId="11" fillId="3" borderId="43" applyAlignment="1" pivotButton="0" quotePrefix="0" xfId="1">
      <alignment horizontal="center" vertical="center"/>
    </xf>
    <xf numFmtId="0" fontId="11" fillId="2" borderId="42" applyAlignment="1" pivotButton="0" quotePrefix="0" xfId="1">
      <alignment vertical="center"/>
    </xf>
    <xf numFmtId="0" fontId="11" fillId="0" borderId="45" applyAlignment="1" pivotButton="0" quotePrefix="0" xfId="1">
      <alignment vertical="center"/>
    </xf>
    <xf numFmtId="0" fontId="11" fillId="2" borderId="44" applyAlignment="1" pivotButton="0" quotePrefix="0" xfId="1">
      <alignment horizontal="center" vertical="center"/>
    </xf>
    <xf numFmtId="49" fontId="8" fillId="0" borderId="140" applyAlignment="1" pivotButton="0" quotePrefix="0" xfId="1">
      <alignment vertical="center"/>
    </xf>
    <xf numFmtId="0" fontId="11" fillId="2" borderId="16" applyAlignment="1" pivotButton="0" quotePrefix="0" xfId="1">
      <alignment vertical="center"/>
    </xf>
    <xf numFmtId="0" fontId="11" fillId="0" borderId="140" applyAlignment="1" pivotButton="0" quotePrefix="0" xfId="1">
      <alignment horizontal="center" vertical="center"/>
    </xf>
    <xf numFmtId="167" fontId="13" fillId="3" borderId="43" applyAlignment="1" pivotButton="0" quotePrefix="0" xfId="1">
      <alignment horizontal="center" vertical="center"/>
    </xf>
    <xf numFmtId="167" fontId="11" fillId="3" borderId="43" applyAlignment="1" pivotButton="0" quotePrefix="0" xfId="1">
      <alignment horizontal="center" vertical="center"/>
    </xf>
    <xf numFmtId="2" fontId="13" fillId="3" borderId="12" applyAlignment="1" pivotButton="0" quotePrefix="0" xfId="1">
      <alignment horizontal="center" vertical="center"/>
    </xf>
    <xf numFmtId="2" fontId="11" fillId="3" borderId="12" applyAlignment="1" pivotButton="0" quotePrefix="0" xfId="1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11" fillId="3" borderId="40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11" fillId="0" borderId="0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2" borderId="0" applyAlignment="1" pivotButton="0" quotePrefix="0" xfId="1">
      <alignment horizontal="center" vertical="center"/>
    </xf>
    <xf numFmtId="0" fontId="11" fillId="3" borderId="0" applyAlignment="1" pivotButton="0" quotePrefix="0" xfId="1">
      <alignment horizontal="center" vertical="center"/>
    </xf>
    <xf numFmtId="0" fontId="11" fillId="2" borderId="0" applyAlignment="1" pivotButton="0" quotePrefix="0" xfId="1">
      <alignment vertical="center"/>
    </xf>
    <xf numFmtId="0" fontId="11" fillId="0" borderId="13" applyAlignment="1" pivotButton="0" quotePrefix="0" xfId="1">
      <alignment horizontal="left" vertical="center" wrapText="1"/>
    </xf>
    <xf numFmtId="0" fontId="11" fillId="0" borderId="1" applyAlignment="1" pivotButton="0" quotePrefix="0" xfId="1">
      <alignment vertical="center" shrinkToFit="1"/>
    </xf>
    <xf numFmtId="0" fontId="11" fillId="2" borderId="9" applyAlignment="1" pivotButton="0" quotePrefix="0" xfId="1">
      <alignment vertical="center"/>
    </xf>
    <xf numFmtId="0" fontId="11" fillId="2" borderId="15" applyAlignment="1" pivotButton="0" quotePrefix="0" xfId="1">
      <alignment vertical="center"/>
    </xf>
    <xf numFmtId="0" fontId="11" fillId="0" borderId="51" applyAlignment="1" pivotButton="0" quotePrefix="0" xfId="1">
      <alignment vertical="center"/>
    </xf>
    <xf numFmtId="0" fontId="11" fillId="2" borderId="50" applyAlignment="1" pivotButton="0" quotePrefix="0" xfId="1">
      <alignment horizontal="center" vertical="center"/>
    </xf>
    <xf numFmtId="0" fontId="11" fillId="2" borderId="45" applyAlignment="1" pivotButton="0" quotePrefix="0" xfId="1">
      <alignment vertical="center"/>
    </xf>
    <xf numFmtId="0" fontId="11" fillId="0" borderId="48" applyAlignment="1" pivotButton="0" quotePrefix="0" xfId="1">
      <alignment vertical="center"/>
    </xf>
    <xf numFmtId="0" fontId="11" fillId="2" borderId="47" applyAlignment="1" pivotButton="0" quotePrefix="0" xfId="1">
      <alignment horizontal="center" vertical="center"/>
    </xf>
    <xf numFmtId="0" fontId="13" fillId="3" borderId="46" applyAlignment="1" pivotButton="0" quotePrefix="0" xfId="1">
      <alignment horizontal="center" vertical="center"/>
    </xf>
    <xf numFmtId="0" fontId="11" fillId="3" borderId="46" applyAlignment="1" pivotButton="0" quotePrefix="0" xfId="1">
      <alignment horizontal="center" vertical="center"/>
    </xf>
    <xf numFmtId="0" fontId="11" fillId="0" borderId="140" applyAlignment="1" pivotButton="0" quotePrefix="0" xfId="1">
      <alignment vertical="center"/>
    </xf>
    <xf numFmtId="0" fontId="11" fillId="2" borderId="9" applyAlignment="1" pivotButton="0" quotePrefix="0" xfId="1">
      <alignment horizontal="center" vertical="center"/>
    </xf>
    <xf numFmtId="0" fontId="11" fillId="3" borderId="0" applyAlignment="1" pivotButton="0" quotePrefix="0" xfId="1">
      <alignment vertical="center"/>
    </xf>
    <xf numFmtId="0" fontId="11" fillId="3" borderId="0" applyAlignment="1" pivotButton="0" quotePrefix="0" xfId="1">
      <alignment vertical="center" wrapText="1"/>
    </xf>
    <xf numFmtId="0" fontId="11" fillId="3" borderId="14" applyAlignment="1" pivotButton="0" quotePrefix="0" xfId="1">
      <alignment vertical="center" wrapText="1"/>
    </xf>
    <xf numFmtId="0" fontId="11" fillId="2" borderId="15" applyAlignment="1" pivotButton="0" quotePrefix="0" xfId="1">
      <alignment vertical="center" wrapText="1"/>
    </xf>
    <xf numFmtId="0" fontId="11" fillId="2" borderId="0" applyAlignment="1" pivotButton="0" quotePrefix="0" xfId="1">
      <alignment vertical="center" wrapText="1"/>
    </xf>
    <xf numFmtId="0" fontId="11" fillId="2" borderId="5" applyAlignment="1" pivotButton="0" quotePrefix="0" xfId="1">
      <alignment vertical="center" wrapText="1"/>
    </xf>
    <xf numFmtId="0" fontId="11" fillId="2" borderId="10" applyAlignment="1" pivotButton="0" quotePrefix="0" xfId="1">
      <alignment vertical="center" wrapText="1"/>
    </xf>
    <xf numFmtId="0" fontId="11" fillId="3" borderId="10" applyAlignment="1" pivotButton="0" quotePrefix="0" xfId="1">
      <alignment vertical="center" wrapText="1"/>
    </xf>
    <xf numFmtId="0" fontId="11" fillId="3" borderId="4" applyAlignment="1" pivotButton="0" quotePrefix="0" xfId="1">
      <alignment vertical="center" wrapText="1"/>
    </xf>
    <xf numFmtId="167" fontId="11" fillId="3" borderId="9" applyAlignment="1" pivotButton="0" quotePrefix="0" xfId="1">
      <alignment horizontal="center" vertical="center"/>
    </xf>
    <xf numFmtId="167" fontId="13" fillId="3" borderId="9" applyAlignment="1" pivotButton="0" quotePrefix="0" xfId="1">
      <alignment horizontal="center" vertical="center"/>
    </xf>
    <xf numFmtId="0" fontId="11" fillId="3" borderId="39" applyAlignment="1" pivotButton="0" quotePrefix="0" xfId="1">
      <alignment horizontal="center" vertical="center"/>
    </xf>
    <xf numFmtId="0" fontId="13" fillId="3" borderId="39" applyAlignment="1" pivotButton="0" quotePrefix="0" xfId="1">
      <alignment horizontal="center" vertical="center"/>
    </xf>
    <xf numFmtId="0" fontId="11" fillId="3" borderId="5" applyAlignment="1" pivotButton="0" quotePrefix="0" xfId="1">
      <alignment horizontal="center" vertical="center"/>
    </xf>
    <xf numFmtId="0" fontId="13" fillId="3" borderId="5" applyAlignment="1" pivotButton="0" quotePrefix="0" xfId="1">
      <alignment horizontal="center" vertical="center"/>
    </xf>
    <xf numFmtId="167" fontId="11" fillId="0" borderId="140" applyAlignment="1" pivotButton="0" quotePrefix="0" xfId="1">
      <alignment horizontal="center" vertical="center"/>
    </xf>
    <xf numFmtId="2" fontId="11" fillId="0" borderId="140" applyAlignment="1" pivotButton="0" quotePrefix="0" xfId="1">
      <alignment horizontal="center" vertical="center"/>
    </xf>
    <xf numFmtId="0" fontId="11" fillId="0" borderId="15" applyAlignment="1" pivotButton="0" quotePrefix="0" xfId="1">
      <alignment horizontal="center" vertical="center" wrapText="1"/>
    </xf>
    <xf numFmtId="0" fontId="11" fillId="0" borderId="15" applyAlignment="1" pivotButton="0" quotePrefix="0" xfId="1">
      <alignment vertical="center" wrapText="1"/>
    </xf>
    <xf numFmtId="0" fontId="11" fillId="0" borderId="10" applyAlignment="1" pivotButton="0" quotePrefix="0" xfId="1">
      <alignment vertical="center"/>
    </xf>
    <xf numFmtId="0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1">
      <alignment horizontal="center" vertical="center"/>
    </xf>
    <xf numFmtId="167" fontId="19" fillId="3" borderId="13" applyAlignment="1" pivotButton="0" quotePrefix="0" xfId="1">
      <alignment horizontal="center" vertical="center"/>
    </xf>
    <xf numFmtId="0" fontId="19" fillId="3" borderId="40" applyAlignment="1" pivotButton="0" quotePrefix="0" xfId="1">
      <alignment horizontal="center" vertical="center"/>
    </xf>
    <xf numFmtId="0" fontId="19" fillId="3" borderId="11" applyAlignment="1" pivotButton="0" quotePrefix="0" xfId="1">
      <alignment horizontal="center" vertical="center"/>
    </xf>
    <xf numFmtId="0" fontId="19" fillId="3" borderId="49" applyAlignment="1" pivotButton="0" quotePrefix="0" xfId="1">
      <alignment horizontal="center" vertical="center"/>
    </xf>
    <xf numFmtId="0" fontId="19" fillId="3" borderId="37" applyAlignment="1" pivotButton="0" quotePrefix="0" xfId="1">
      <alignment horizontal="center" vertical="center"/>
    </xf>
    <xf numFmtId="0" fontId="19" fillId="3" borderId="43" applyAlignment="1" pivotButton="0" quotePrefix="0" xfId="1">
      <alignment horizontal="center" vertical="center"/>
    </xf>
    <xf numFmtId="0" fontId="19" fillId="3" borderId="12" applyAlignment="1" pivotButton="0" quotePrefix="0" xfId="1">
      <alignment horizontal="center" vertical="center"/>
    </xf>
    <xf numFmtId="0" fontId="19" fillId="3" borderId="13" applyAlignment="1" pivotButton="0" quotePrefix="0" xfId="1">
      <alignment horizontal="center" vertical="center"/>
    </xf>
    <xf numFmtId="2" fontId="19" fillId="3" borderId="43" applyAlignment="1" pivotButton="0" quotePrefix="0" xfId="1">
      <alignment horizontal="center" vertical="center"/>
    </xf>
    <xf numFmtId="167" fontId="19" fillId="3" borderId="43" applyAlignment="1" pivotButton="0" quotePrefix="0" xfId="1">
      <alignment horizontal="center" vertical="center"/>
    </xf>
    <xf numFmtId="2" fontId="19" fillId="3" borderId="12" applyAlignment="1" pivotButton="0" quotePrefix="0" xfId="1">
      <alignment horizontal="center" vertical="center"/>
    </xf>
    <xf numFmtId="0" fontId="19" fillId="3" borderId="46" applyAlignment="1" pivotButton="0" quotePrefix="0" xfId="1">
      <alignment horizontal="center" vertical="center"/>
    </xf>
    <xf numFmtId="0" fontId="18" fillId="2" borderId="15" applyAlignment="1" pivotButton="0" quotePrefix="0" xfId="1">
      <alignment vertical="center" wrapText="1"/>
    </xf>
    <xf numFmtId="0" fontId="18" fillId="2" borderId="0" applyAlignment="1" pivotButton="0" quotePrefix="0" xfId="1">
      <alignment vertical="center" wrapText="1"/>
    </xf>
    <xf numFmtId="0" fontId="18" fillId="3" borderId="0" applyAlignment="1" pivotButton="0" quotePrefix="0" xfId="1">
      <alignment vertical="center" wrapText="1"/>
    </xf>
    <xf numFmtId="0" fontId="11" fillId="0" borderId="140" applyAlignment="1" pivotButton="0" quotePrefix="0" xfId="1">
      <alignment vertical="center" wrapText="1"/>
    </xf>
    <xf numFmtId="0" fontId="11" fillId="0" borderId="140" applyAlignment="1" pivotButton="0" quotePrefix="0" xfId="1">
      <alignment vertical="center" shrinkToFit="1"/>
    </xf>
    <xf numFmtId="0" fontId="8" fillId="0" borderId="140" applyAlignment="1" pivotButton="0" quotePrefix="0" xfId="1">
      <alignment vertical="center" shrinkToFit="1"/>
    </xf>
    <xf numFmtId="0" fontId="15" fillId="2" borderId="10" applyAlignment="1" pivotButton="0" quotePrefix="0" xfId="1">
      <alignment vertical="center"/>
    </xf>
    <xf numFmtId="177" fontId="11" fillId="2" borderId="1" applyAlignment="1" pivotButton="0" quotePrefix="0" xfId="1">
      <alignment horizontal="center" vertical="center"/>
    </xf>
    <xf numFmtId="177" fontId="13" fillId="2" borderId="1" applyAlignment="1" pivotButton="0" quotePrefix="0" xfId="1">
      <alignment horizontal="center" vertical="center"/>
    </xf>
    <xf numFmtId="0" fontId="11" fillId="2" borderId="13" applyAlignment="1" pivotButton="0" quotePrefix="0" xfId="1">
      <alignment horizontal="center" vertical="center" shrinkToFit="1"/>
    </xf>
    <xf numFmtId="0" fontId="11" fillId="2" borderId="95" applyAlignment="1" pivotButton="0" quotePrefix="0" xfId="1">
      <alignment horizontal="center" vertical="center" shrinkToFit="1"/>
    </xf>
    <xf numFmtId="0" fontId="11" fillId="3" borderId="95" applyAlignment="1" pivotButton="0" quotePrefix="0" xfId="1">
      <alignment horizontal="center" vertical="center"/>
    </xf>
    <xf numFmtId="49" fontId="11" fillId="0" borderId="140" applyAlignment="1" pivotButton="0" quotePrefix="0" xfId="1">
      <alignment vertical="center"/>
    </xf>
    <xf numFmtId="0" fontId="11" fillId="2" borderId="1" applyAlignment="1" pivotButton="0" quotePrefix="0" xfId="1">
      <alignment horizontal="center" vertical="center" shrinkToFit="1"/>
    </xf>
    <xf numFmtId="2" fontId="11" fillId="3" borderId="1" applyAlignment="1" pivotButton="0" quotePrefix="0" xfId="1">
      <alignment horizontal="center" vertical="center"/>
    </xf>
    <xf numFmtId="2" fontId="13" fillId="3" borderId="1" applyAlignment="1" pivotButton="0" quotePrefix="0" xfId="1">
      <alignment horizontal="center" vertical="center"/>
    </xf>
    <xf numFmtId="171" fontId="11" fillId="3" borderId="13" applyAlignment="1" pivotButton="0" quotePrefix="0" xfId="1">
      <alignment horizontal="center" vertical="center"/>
    </xf>
    <xf numFmtId="171" fontId="13" fillId="3" borderId="13" applyAlignment="1" pivotButton="0" quotePrefix="0" xfId="1">
      <alignment horizontal="center" vertical="center"/>
    </xf>
    <xf numFmtId="171" fontId="11" fillId="0" borderId="140" applyAlignment="1" pivotButton="0" quotePrefix="0" xfId="1">
      <alignment horizontal="center" vertical="center"/>
    </xf>
    <xf numFmtId="167" fontId="11" fillId="3" borderId="95" applyAlignment="1" pivotButton="0" quotePrefix="0" xfId="1">
      <alignment horizontal="center" vertical="center"/>
    </xf>
    <xf numFmtId="167" fontId="13" fillId="3" borderId="95" applyAlignment="1" pivotButton="0" quotePrefix="0" xfId="1">
      <alignment horizontal="center" vertical="center"/>
    </xf>
    <xf numFmtId="0" fontId="13" fillId="3" borderId="95" applyAlignment="1" pivotButton="0" quotePrefix="0" xfId="1">
      <alignment horizontal="center" vertical="center"/>
    </xf>
    <xf numFmtId="0" fontId="16" fillId="2" borderId="1" applyAlignment="1" pivotButton="0" quotePrefix="0" xfId="1">
      <alignment vertical="center" textRotation="255"/>
    </xf>
    <xf numFmtId="0" fontId="11" fillId="2" borderId="96" applyAlignment="1" pivotButton="0" quotePrefix="0" xfId="1">
      <alignment horizontal="center" vertical="center" shrinkToFit="1"/>
    </xf>
    <xf numFmtId="0" fontId="11" fillId="3" borderId="96" applyAlignment="1" pivotButton="0" quotePrefix="0" xfId="1">
      <alignment horizontal="center" vertical="center"/>
    </xf>
    <xf numFmtId="0" fontId="13" fillId="3" borderId="96" applyAlignment="1" pivotButton="0" quotePrefix="0" xfId="1">
      <alignment horizontal="center" vertical="center"/>
    </xf>
    <xf numFmtId="0" fontId="11" fillId="2" borderId="11" applyAlignment="1" pivotButton="0" quotePrefix="0" xfId="1">
      <alignment horizontal="center" vertical="center" shrinkToFit="1"/>
    </xf>
    <xf numFmtId="0" fontId="11" fillId="0" borderId="140" applyAlignment="1" pivotButton="0" quotePrefix="0" xfId="1">
      <alignment horizontal="center" vertical="center" shrinkToFit="1"/>
    </xf>
    <xf numFmtId="1" fontId="11" fillId="0" borderId="140" applyAlignment="1" pivotButton="0" quotePrefix="0" xfId="1">
      <alignment horizontal="center" vertical="center"/>
    </xf>
    <xf numFmtId="0" fontId="11" fillId="2" borderId="1" applyAlignment="1" pivotButton="0" quotePrefix="0" xfId="1">
      <alignment horizontal="center" vertical="center"/>
    </xf>
    <xf numFmtId="0" fontId="11" fillId="2" borderId="8" applyAlignment="1" pivotButton="0" quotePrefix="0" xfId="1">
      <alignment vertical="center"/>
    </xf>
    <xf numFmtId="0" fontId="11" fillId="3" borderId="14" applyAlignment="1" pivotButton="0" quotePrefix="0" xfId="1">
      <alignment vertical="center"/>
    </xf>
    <xf numFmtId="0" fontId="11" fillId="2" borderId="5" applyAlignment="1" pivotButton="0" quotePrefix="0" xfId="1">
      <alignment vertical="center"/>
    </xf>
    <xf numFmtId="0" fontId="11" fillId="2" borderId="10" applyAlignment="1" pivotButton="0" quotePrefix="0" xfId="1">
      <alignment vertical="center"/>
    </xf>
    <xf numFmtId="0" fontId="11" fillId="3" borderId="10" applyAlignment="1" pivotButton="0" quotePrefix="0" xfId="1">
      <alignment vertical="center"/>
    </xf>
    <xf numFmtId="0" fontId="11" fillId="3" borderId="4" applyAlignment="1" pivotButton="0" quotePrefix="0" xfId="1">
      <alignment vertical="center"/>
    </xf>
    <xf numFmtId="0" fontId="11" fillId="2" borderId="0" applyAlignment="1" pivotButton="0" quotePrefix="0" xfId="1">
      <alignment vertical="center" textRotation="255"/>
    </xf>
    <xf numFmtId="0" fontId="9" fillId="3" borderId="0" pivotButton="0" quotePrefix="0" xfId="0"/>
    <xf numFmtId="177" fontId="11" fillId="3" borderId="1" applyAlignment="1" pivotButton="0" quotePrefix="0" xfId="1">
      <alignment horizontal="center" vertical="center"/>
    </xf>
    <xf numFmtId="177" fontId="13" fillId="3" borderId="1" applyAlignment="1" pivotButton="0" quotePrefix="0" xfId="1">
      <alignment horizontal="center" vertical="center"/>
    </xf>
    <xf numFmtId="0" fontId="11" fillId="2" borderId="75" applyAlignment="1" pivotButton="0" quotePrefix="0" xfId="1">
      <alignment horizontal="center" vertical="center"/>
    </xf>
    <xf numFmtId="0" fontId="11" fillId="2" borderId="98" applyAlignment="1" pivotButton="0" quotePrefix="0" xfId="1">
      <alignment horizontal="center" vertical="center"/>
    </xf>
    <xf numFmtId="0" fontId="11" fillId="3" borderId="72" applyAlignment="1" pivotButton="0" quotePrefix="0" xfId="1">
      <alignment horizontal="center" vertical="center"/>
    </xf>
    <xf numFmtId="0" fontId="13" fillId="3" borderId="72" applyAlignment="1" pivotButton="0" quotePrefix="0" xfId="1">
      <alignment horizontal="center" vertical="center"/>
    </xf>
    <xf numFmtId="0" fontId="11" fillId="2" borderId="67" applyAlignment="1" pivotButton="0" quotePrefix="0" xfId="1">
      <alignment horizontal="center" vertical="center"/>
    </xf>
    <xf numFmtId="2" fontId="11" fillId="3" borderId="61" applyAlignment="1" pivotButton="0" quotePrefix="0" xfId="1">
      <alignment horizontal="center" vertical="center"/>
    </xf>
    <xf numFmtId="2" fontId="13" fillId="3" borderId="61" applyAlignment="1" pivotButton="0" quotePrefix="0" xfId="1">
      <alignment horizontal="center" vertical="center"/>
    </xf>
    <xf numFmtId="2" fontId="11" fillId="3" borderId="95" applyAlignment="1" pivotButton="0" quotePrefix="0" xfId="1">
      <alignment horizontal="center" vertical="center"/>
    </xf>
    <xf numFmtId="2" fontId="13" fillId="3" borderId="95" applyAlignment="1" pivotButton="0" quotePrefix="0" xfId="1">
      <alignment horizontal="center" vertical="center"/>
    </xf>
    <xf numFmtId="2" fontId="11" fillId="3" borderId="107" applyAlignment="1" pivotButton="0" quotePrefix="0" xfId="1">
      <alignment horizontal="center" vertical="center"/>
    </xf>
    <xf numFmtId="2" fontId="13" fillId="3" borderId="107" applyAlignment="1" pivotButton="0" quotePrefix="0" xfId="1">
      <alignment horizontal="center" vertical="center"/>
    </xf>
    <xf numFmtId="0" fontId="11" fillId="2" borderId="66" applyAlignment="1" pivotButton="0" quotePrefix="0" xfId="1">
      <alignment vertical="center"/>
    </xf>
    <xf numFmtId="2" fontId="11" fillId="3" borderId="108" applyAlignment="1" pivotButton="0" quotePrefix="0" xfId="1">
      <alignment horizontal="center" vertical="center"/>
    </xf>
    <xf numFmtId="2" fontId="13" fillId="3" borderId="108" applyAlignment="1" pivotButton="0" quotePrefix="0" xfId="1">
      <alignment horizontal="center" vertical="center"/>
    </xf>
    <xf numFmtId="0" fontId="11" fillId="2" borderId="6" applyAlignment="1" pivotButton="0" quotePrefix="0" xfId="1">
      <alignment horizontal="center" vertical="center"/>
    </xf>
    <xf numFmtId="2" fontId="11" fillId="3" borderId="69" applyAlignment="1" pivotButton="0" quotePrefix="0" xfId="1">
      <alignment horizontal="center" vertical="center"/>
    </xf>
    <xf numFmtId="2" fontId="13" fillId="3" borderId="69" applyAlignment="1" pivotButton="0" quotePrefix="0" xfId="1">
      <alignment horizontal="center" vertical="center"/>
    </xf>
    <xf numFmtId="0" fontId="11" fillId="2" borderId="77" applyAlignment="1" pivotButton="0" quotePrefix="0" xfId="1">
      <alignment vertical="center"/>
    </xf>
    <xf numFmtId="0" fontId="11" fillId="2" borderId="7" applyAlignment="1" pivotButton="0" quotePrefix="0" xfId="1">
      <alignment vertical="center"/>
    </xf>
    <xf numFmtId="167" fontId="8" fillId="3" borderId="61" applyAlignment="1" pivotButton="0" quotePrefix="0" xfId="1">
      <alignment horizontal="center"/>
    </xf>
    <xf numFmtId="167" fontId="10" fillId="3" borderId="61" applyAlignment="1" pivotButton="0" quotePrefix="0" xfId="1">
      <alignment horizontal="center"/>
    </xf>
    <xf numFmtId="2" fontId="11" fillId="3" borderId="99" applyAlignment="1" pivotButton="0" quotePrefix="0" xfId="1">
      <alignment horizontal="center" vertical="center"/>
    </xf>
    <xf numFmtId="2" fontId="13" fillId="3" borderId="99" applyAlignment="1" pivotButton="0" quotePrefix="0" xfId="1">
      <alignment horizontal="center" vertical="center"/>
    </xf>
    <xf numFmtId="167" fontId="11" fillId="3" borderId="61" applyAlignment="1" pivotButton="0" quotePrefix="0" xfId="1">
      <alignment horizontal="center" vertical="center"/>
    </xf>
    <xf numFmtId="167" fontId="13" fillId="3" borderId="61" applyAlignment="1" pivotButton="0" quotePrefix="0" xfId="1">
      <alignment horizontal="center" vertical="center"/>
    </xf>
    <xf numFmtId="0" fontId="11" fillId="2" borderId="9" applyAlignment="1" pivotButton="0" quotePrefix="0" xfId="1">
      <alignment vertical="center" wrapText="1"/>
    </xf>
    <xf numFmtId="0" fontId="17" fillId="0" borderId="16" applyAlignment="1" pivotButton="0" quotePrefix="0" xfId="1">
      <alignment vertical="center" wrapText="1"/>
    </xf>
    <xf numFmtId="0" fontId="20" fillId="0" borderId="16" applyAlignment="1" pivotButton="0" quotePrefix="0" xfId="1">
      <alignment vertical="center" wrapText="1"/>
    </xf>
    <xf numFmtId="0" fontId="17" fillId="0" borderId="8" applyAlignment="1" pivotButton="0" quotePrefix="0" xfId="1">
      <alignment vertical="center" wrapText="1"/>
    </xf>
    <xf numFmtId="0" fontId="17" fillId="0" borderId="15" applyAlignment="1" pivotButton="0" quotePrefix="0" xfId="1">
      <alignment vertical="center" wrapText="1"/>
    </xf>
    <xf numFmtId="0" fontId="17" fillId="0" borderId="0" applyAlignment="1" pivotButton="0" quotePrefix="0" xfId="1">
      <alignment vertical="center" wrapText="1"/>
    </xf>
    <xf numFmtId="0" fontId="17" fillId="3" borderId="0" applyAlignment="1" pivotButton="0" quotePrefix="0" xfId="1">
      <alignment vertical="center" wrapText="1"/>
    </xf>
    <xf numFmtId="0" fontId="17" fillId="3" borderId="14" applyAlignment="1" pivotButton="0" quotePrefix="0" xfId="1">
      <alignment vertical="center" wrapText="1"/>
    </xf>
    <xf numFmtId="0" fontId="11" fillId="2" borderId="10" applyAlignment="1" pivotButton="0" quotePrefix="0" xfId="1">
      <alignment horizontal="center" vertical="center"/>
    </xf>
    <xf numFmtId="0" fontId="11" fillId="3" borderId="10" applyAlignment="1" pivotButton="0" quotePrefix="0" xfId="1">
      <alignment horizontal="center" vertical="center"/>
    </xf>
    <xf numFmtId="0" fontId="11" fillId="3" borderId="4" applyAlignment="1" pivotButton="0" quotePrefix="0" xfId="1">
      <alignment horizontal="center" vertical="center"/>
    </xf>
    <xf numFmtId="0" fontId="15" fillId="2" borderId="4" applyAlignment="1" pivotButton="0" quotePrefix="0" xfId="1">
      <alignment vertical="center"/>
    </xf>
    <xf numFmtId="0" fontId="11" fillId="2" borderId="76" applyAlignment="1" pivotButton="0" quotePrefix="0" xfId="1">
      <alignment vertical="center"/>
    </xf>
    <xf numFmtId="0" fontId="11" fillId="2" borderId="74" applyAlignment="1" pivotButton="0" quotePrefix="0" xfId="1">
      <alignment vertical="center"/>
    </xf>
    <xf numFmtId="0" fontId="11" fillId="2" borderId="65" applyAlignment="1" pivotButton="0" quotePrefix="0" xfId="1">
      <alignment vertical="center"/>
    </xf>
    <xf numFmtId="0" fontId="11" fillId="3" borderId="61" applyAlignment="1" pivotButton="0" quotePrefix="0" xfId="1">
      <alignment horizontal="center" vertical="center"/>
    </xf>
    <xf numFmtId="0" fontId="13" fillId="3" borderId="61" applyAlignment="1" pivotButton="0" quotePrefix="0" xfId="1">
      <alignment horizontal="center" vertical="center"/>
    </xf>
    <xf numFmtId="0" fontId="16" fillId="2" borderId="17" applyAlignment="1" pivotButton="0" quotePrefix="0" xfId="1">
      <alignment vertical="center" textRotation="255"/>
    </xf>
    <xf numFmtId="0" fontId="11" fillId="2" borderId="16" applyAlignment="1" pivotButton="0" quotePrefix="0" xfId="1">
      <alignment horizontal="center" vertical="center"/>
    </xf>
    <xf numFmtId="0" fontId="11" fillId="3" borderId="16" applyAlignment="1" pivotButton="0" quotePrefix="0" xfId="1">
      <alignment horizontal="center" vertical="center"/>
    </xf>
    <xf numFmtId="0" fontId="17" fillId="3" borderId="17" applyAlignment="1" pivotButton="0" quotePrefix="0" xfId="1">
      <alignment vertical="center" wrapText="1"/>
    </xf>
    <xf numFmtId="0" fontId="19" fillId="3" borderId="16" applyAlignment="1" pivotButton="0" quotePrefix="0" xfId="1">
      <alignment horizontal="center" vertical="center"/>
    </xf>
    <xf numFmtId="0" fontId="17" fillId="3" borderId="16" applyAlignment="1" pivotButton="0" quotePrefix="0" xfId="1">
      <alignment vertical="center" wrapText="1"/>
    </xf>
    <xf numFmtId="0" fontId="17" fillId="3" borderId="8" applyAlignment="1" pivotButton="0" quotePrefix="0" xfId="1">
      <alignment vertical="center" wrapText="1"/>
    </xf>
    <xf numFmtId="0" fontId="17" fillId="0" borderId="5" applyAlignment="1" pivotButton="0" quotePrefix="0" xfId="1">
      <alignment vertical="center" wrapText="1"/>
    </xf>
    <xf numFmtId="0" fontId="17" fillId="0" borderId="10" applyAlignment="1" pivotButton="0" quotePrefix="0" xfId="1">
      <alignment vertical="center" wrapText="1"/>
    </xf>
    <xf numFmtId="0" fontId="17" fillId="3" borderId="10" applyAlignment="1" pivotButton="0" quotePrefix="0" xfId="1">
      <alignment vertical="center" wrapText="1"/>
    </xf>
    <xf numFmtId="0" fontId="17" fillId="3" borderId="4" applyAlignment="1" pivotButton="0" quotePrefix="0" xfId="1">
      <alignment vertical="center" wrapText="1"/>
    </xf>
    <xf numFmtId="0" fontId="11" fillId="3" borderId="11" applyAlignment="1" pivotButton="0" quotePrefix="0" xfId="1">
      <alignment horizontal="center" vertical="center" shrinkToFit="1"/>
    </xf>
    <xf numFmtId="1" fontId="11" fillId="3" borderId="95" applyAlignment="1" pivotButton="0" quotePrefix="0" xfId="1">
      <alignment horizontal="center" vertical="center"/>
    </xf>
    <xf numFmtId="0" fontId="19" fillId="2" borderId="16" applyAlignment="1" pivotButton="0" quotePrefix="0" xfId="1">
      <alignment vertical="center"/>
    </xf>
    <xf numFmtId="167" fontId="8" fillId="3" borderId="5" applyAlignment="1" pivotButton="0" quotePrefix="0" xfId="1">
      <alignment horizontal="center"/>
    </xf>
    <xf numFmtId="167" fontId="10" fillId="3" borderId="5" applyAlignment="1" pivotButton="0" quotePrefix="0" xfId="1">
      <alignment horizontal="center"/>
    </xf>
    <xf numFmtId="167" fontId="8" fillId="3" borderId="109" applyAlignment="1" pivotButton="0" quotePrefix="0" xfId="1">
      <alignment horizontal="center"/>
    </xf>
    <xf numFmtId="178" fontId="8" fillId="3" borderId="61" applyAlignment="1" pivotButton="0" quotePrefix="0" xfId="1">
      <alignment horizontal="center" shrinkToFit="1"/>
    </xf>
    <xf numFmtId="178" fontId="10" fillId="3" borderId="61" applyAlignment="1" pivotButton="0" quotePrefix="0" xfId="1">
      <alignment horizontal="center" shrinkToFit="1"/>
    </xf>
    <xf numFmtId="0" fontId="16" fillId="2" borderId="11" applyAlignment="1" pivotButton="0" quotePrefix="0" xfId="1">
      <alignment horizontal="center" vertical="center" textRotation="255"/>
    </xf>
    <xf numFmtId="0" fontId="11" fillId="3" borderId="17" applyAlignment="1" pivotButton="0" quotePrefix="0" xfId="1">
      <alignment horizontal="center" vertical="center"/>
    </xf>
    <xf numFmtId="0" fontId="19" fillId="3" borderId="95" applyAlignment="1" pivotButton="0" quotePrefix="0" xfId="1">
      <alignment horizontal="center" vertical="center"/>
    </xf>
    <xf numFmtId="2" fontId="19" fillId="3" borderId="1" applyAlignment="1" pivotButton="0" quotePrefix="0" xfId="1">
      <alignment horizontal="center" vertical="center"/>
    </xf>
    <xf numFmtId="171" fontId="19" fillId="3" borderId="13" applyAlignment="1" pivotButton="0" quotePrefix="0" xfId="1">
      <alignment horizontal="center" vertical="center"/>
    </xf>
    <xf numFmtId="167" fontId="19" fillId="3" borderId="95" applyAlignment="1" pivotButton="0" quotePrefix="0" xfId="1">
      <alignment horizontal="center" vertical="center"/>
    </xf>
    <xf numFmtId="0" fontId="19" fillId="3" borderId="96" applyAlignment="1" pivotButton="0" quotePrefix="0" xfId="1">
      <alignment horizontal="center" vertical="center"/>
    </xf>
    <xf numFmtId="1" fontId="13" fillId="3" borderId="95" applyAlignment="1" pivotButton="0" quotePrefix="0" xfId="1">
      <alignment horizontal="center" vertical="center"/>
    </xf>
    <xf numFmtId="0" fontId="19" fillId="3" borderId="72" applyAlignment="1" pivotButton="0" quotePrefix="0" xfId="1">
      <alignment horizontal="center" vertical="center"/>
    </xf>
    <xf numFmtId="2" fontId="19" fillId="3" borderId="61" applyAlignment="1" pivotButton="0" quotePrefix="0" xfId="1">
      <alignment horizontal="center" vertical="center"/>
    </xf>
    <xf numFmtId="2" fontId="19" fillId="3" borderId="95" applyAlignment="1" pivotButton="0" quotePrefix="0" xfId="1">
      <alignment horizontal="center" vertical="center"/>
    </xf>
    <xf numFmtId="2" fontId="13" fillId="3" borderId="71" applyAlignment="1" pivotButton="0" quotePrefix="0" xfId="1">
      <alignment horizontal="center" vertical="center"/>
    </xf>
    <xf numFmtId="2" fontId="11" fillId="3" borderId="71" applyAlignment="1" pivotButton="0" quotePrefix="0" xfId="1">
      <alignment horizontal="center" vertical="center"/>
    </xf>
    <xf numFmtId="2" fontId="19" fillId="3" borderId="71" applyAlignment="1" pivotButton="0" quotePrefix="0" xfId="1">
      <alignment horizontal="center" vertical="center"/>
    </xf>
    <xf numFmtId="178" fontId="21" fillId="3" borderId="61" applyAlignment="1" pivotButton="0" quotePrefix="0" xfId="1">
      <alignment horizontal="center" shrinkToFit="1"/>
    </xf>
    <xf numFmtId="2" fontId="19" fillId="3" borderId="99" applyAlignment="1" pivotButton="0" quotePrefix="0" xfId="1">
      <alignment horizontal="center" vertical="center"/>
    </xf>
    <xf numFmtId="2" fontId="19" fillId="3" borderId="69" applyAlignment="1" pivotButton="0" quotePrefix="0" xfId="1">
      <alignment horizontal="center" vertical="center"/>
    </xf>
    <xf numFmtId="167" fontId="21" fillId="3" borderId="61" applyAlignment="1" pivotButton="0" quotePrefix="0" xfId="1">
      <alignment horizontal="center"/>
    </xf>
    <xf numFmtId="167" fontId="11" fillId="3" borderId="71" applyAlignment="1" pivotButton="0" quotePrefix="0" xfId="1">
      <alignment horizontal="center" vertical="center"/>
    </xf>
    <xf numFmtId="167" fontId="19" fillId="3" borderId="61" applyAlignment="1" pivotButton="0" quotePrefix="0" xfId="1">
      <alignment horizontal="center" vertical="center"/>
    </xf>
    <xf numFmtId="0" fontId="19" fillId="3" borderId="61" applyAlignment="1" pivotButton="0" quotePrefix="0" xfId="1">
      <alignment horizontal="center" vertical="center"/>
    </xf>
    <xf numFmtId="0" fontId="13" fillId="3" borderId="11" applyAlignment="1" pivotButton="0" quotePrefix="0" xfId="1">
      <alignment horizontal="center" vertical="center" shrinkToFit="1"/>
    </xf>
    <xf numFmtId="178" fontId="10" fillId="3" borderId="11" applyAlignment="1" pivotButton="0" quotePrefix="0" xfId="1">
      <alignment horizontal="center" shrinkToFit="1"/>
    </xf>
    <xf numFmtId="178" fontId="8" fillId="3" borderId="11" applyAlignment="1" pivotButton="0" quotePrefix="0" xfId="1">
      <alignment horizontal="center" shrinkToFit="1"/>
    </xf>
    <xf numFmtId="2" fontId="11" fillId="3" borderId="69" applyAlignment="1" pivotButton="0" quotePrefix="1" xfId="1">
      <alignment horizontal="center" vertical="center"/>
    </xf>
    <xf numFmtId="0" fontId="20" fillId="3" borderId="16" applyAlignment="1" pivotButton="0" quotePrefix="0" xfId="1">
      <alignment vertical="center" wrapText="1"/>
    </xf>
    <xf numFmtId="0" fontId="13" fillId="3" borderId="16" applyAlignment="1" pivotButton="0" quotePrefix="0" xfId="1">
      <alignment horizontal="center" vertical="center"/>
    </xf>
    <xf numFmtId="177" fontId="19" fillId="3" borderId="1" applyAlignment="1" pivotButton="0" quotePrefix="0" xfId="1">
      <alignment horizontal="center" vertical="center"/>
    </xf>
    <xf numFmtId="1" fontId="19" fillId="3" borderId="95" applyAlignment="1" pivotButton="0" quotePrefix="0" xfId="1">
      <alignment horizontal="center" vertical="center"/>
    </xf>
    <xf numFmtId="0" fontId="19" fillId="3" borderId="17" applyAlignment="1" pivotButton="0" quotePrefix="0" xfId="1">
      <alignment horizontal="center" vertical="center"/>
    </xf>
    <xf numFmtId="0" fontId="15" fillId="0" borderId="140" applyAlignment="1" pivotButton="0" quotePrefix="0" xfId="1">
      <alignment vertical="center"/>
    </xf>
    <xf numFmtId="0" fontId="16" fillId="0" borderId="140" applyAlignment="1" pivotButton="0" quotePrefix="0" xfId="1">
      <alignment horizontal="center" vertical="center" textRotation="255"/>
    </xf>
    <xf numFmtId="0" fontId="16" fillId="0" borderId="140" applyAlignment="1" pivotButton="0" quotePrefix="0" xfId="1">
      <alignment vertical="center" textRotation="255"/>
    </xf>
    <xf numFmtId="0" fontId="11" fillId="0" borderId="140" applyAlignment="1" pivotButton="0" quotePrefix="0" xfId="1">
      <alignment vertical="center" textRotation="255"/>
    </xf>
    <xf numFmtId="0" fontId="11" fillId="0" borderId="140" pivotButton="0" quotePrefix="0" xfId="1"/>
    <xf numFmtId="0" fontId="11" fillId="0" borderId="140" applyAlignment="1" pivotButton="0" quotePrefix="0" xfId="1">
      <alignment vertical="top"/>
    </xf>
    <xf numFmtId="0" fontId="17" fillId="0" borderId="140" applyAlignment="1" pivotButton="0" quotePrefix="0" xfId="1">
      <alignment vertical="center" wrapText="1"/>
    </xf>
    <xf numFmtId="0" fontId="8" fillId="0" borderId="140" applyAlignment="1" pivotButton="0" quotePrefix="0" xfId="1">
      <alignment vertical="center" textRotation="255" shrinkToFit="1"/>
    </xf>
    <xf numFmtId="0" fontId="8" fillId="0" borderId="0" applyAlignment="1" pivotButton="0" quotePrefix="0" xfId="3">
      <alignment vertical="center"/>
    </xf>
    <xf numFmtId="0" fontId="22" fillId="0" borderId="0" applyAlignment="1" pivotButton="0" quotePrefix="0" xfId="3">
      <alignment horizontal="center" vertical="center"/>
    </xf>
    <xf numFmtId="0" fontId="8" fillId="0" borderId="1" applyAlignment="1" pivotButton="0" quotePrefix="0" xfId="3">
      <alignment horizontal="center" vertical="center"/>
    </xf>
    <xf numFmtId="0" fontId="11" fillId="0" borderId="3" applyAlignment="1" pivotButton="0" quotePrefix="0" xfId="3">
      <alignment vertical="center"/>
    </xf>
    <xf numFmtId="0" fontId="11" fillId="0" borderId="17" applyAlignment="1" pivotButton="0" quotePrefix="0" xfId="3">
      <alignment vertical="center"/>
    </xf>
    <xf numFmtId="0" fontId="11" fillId="0" borderId="17" applyAlignment="1" pivotButton="0" quotePrefix="0" xfId="3">
      <alignment horizontal="right" vertical="center"/>
    </xf>
    <xf numFmtId="167" fontId="8" fillId="3" borderId="1" applyAlignment="1" pivotButton="0" quotePrefix="0" xfId="3">
      <alignment horizontal="center" vertical="center"/>
    </xf>
    <xf numFmtId="171" fontId="17" fillId="0" borderId="140" applyAlignment="1" pivotButton="0" quotePrefix="0" xfId="3">
      <alignment vertical="center"/>
    </xf>
    <xf numFmtId="0" fontId="11" fillId="0" borderId="9" applyAlignment="1" pivotButton="0" quotePrefix="0" xfId="3">
      <alignment vertical="center"/>
    </xf>
    <xf numFmtId="0" fontId="11" fillId="0" borderId="16" applyAlignment="1" pivotButton="0" quotePrefix="0" xfId="3">
      <alignment vertical="center"/>
    </xf>
    <xf numFmtId="0" fontId="11" fillId="0" borderId="16" applyAlignment="1" pivotButton="0" quotePrefix="0" xfId="3">
      <alignment horizontal="right" vertical="center"/>
    </xf>
    <xf numFmtId="0" fontId="8" fillId="0" borderId="16" applyAlignment="1" pivotButton="0" quotePrefix="0" xfId="3">
      <alignment vertical="center"/>
    </xf>
    <xf numFmtId="0" fontId="8" fillId="0" borderId="8" applyAlignment="1" pivotButton="0" quotePrefix="0" xfId="3">
      <alignment vertical="center"/>
    </xf>
    <xf numFmtId="0" fontId="8" fillId="0" borderId="14" applyAlignment="1" pivotButton="0" quotePrefix="0" xfId="3">
      <alignment vertical="center"/>
    </xf>
    <xf numFmtId="0" fontId="8" fillId="2" borderId="15" applyAlignment="1" pivotButton="0" quotePrefix="0" xfId="1">
      <alignment vertical="center"/>
    </xf>
    <xf numFmtId="0" fontId="8" fillId="2" borderId="0" applyAlignment="1" pivotButton="0" quotePrefix="0" xfId="1">
      <alignment vertical="center" wrapText="1"/>
    </xf>
    <xf numFmtId="0" fontId="8" fillId="0" borderId="15" applyAlignment="1" pivotButton="0" quotePrefix="0" xfId="3">
      <alignment vertical="center"/>
    </xf>
    <xf numFmtId="0" fontId="17" fillId="0" borderId="15" applyAlignment="1" pivotButton="0" quotePrefix="0" xfId="3">
      <alignment vertical="center"/>
    </xf>
    <xf numFmtId="0" fontId="17" fillId="0" borderId="14" applyAlignment="1" pivotButton="0" quotePrefix="0" xfId="3">
      <alignment vertical="center"/>
    </xf>
    <xf numFmtId="0" fontId="17" fillId="0" borderId="5" applyAlignment="1" pivotButton="0" quotePrefix="0" xfId="3">
      <alignment vertical="center"/>
    </xf>
    <xf numFmtId="0" fontId="17" fillId="0" borderId="10" applyAlignment="1" pivotButton="0" quotePrefix="0" xfId="3">
      <alignment vertical="center"/>
    </xf>
    <xf numFmtId="0" fontId="17" fillId="0" borderId="4" applyAlignment="1" pivotButton="0" quotePrefix="0" xfId="3">
      <alignment vertical="center"/>
    </xf>
    <xf numFmtId="0" fontId="8" fillId="0" borderId="140" applyAlignment="1" pivotButton="0" quotePrefix="0" xfId="3">
      <alignment vertical="center"/>
    </xf>
    <xf numFmtId="176" fontId="8" fillId="0" borderId="111" pivotButton="0" quotePrefix="0" xfId="1"/>
    <xf numFmtId="176" fontId="8" fillId="0" borderId="1" pivotButton="0" quotePrefix="0" xfId="1"/>
    <xf numFmtId="176" fontId="8" fillId="0" borderId="11" pivotButton="0" quotePrefix="0" xfId="1"/>
    <xf numFmtId="0" fontId="7" fillId="2" borderId="53" applyAlignment="1" pivotButton="0" quotePrefix="0" xfId="1">
      <alignment vertical="center"/>
    </xf>
    <xf numFmtId="0" fontId="2" fillId="0" borderId="0" pivotButton="0" quotePrefix="0" xfId="1"/>
    <xf numFmtId="0" fontId="0" fillId="0" borderId="53" pivotButton="0" quotePrefix="0" xfId="0"/>
    <xf numFmtId="2" fontId="8" fillId="0" borderId="78" applyAlignment="1" pivotButton="0" quotePrefix="0" xfId="1">
      <alignment horizontal="right"/>
    </xf>
    <xf numFmtId="0" fontId="0" fillId="0" borderId="17" pivotButton="0" quotePrefix="0" xfId="0"/>
    <xf numFmtId="0" fontId="0" fillId="0" borderId="62" pivotButton="0" quotePrefix="0" xfId="0"/>
    <xf numFmtId="2" fontId="8" fillId="0" borderId="68" applyAlignment="1" pivotButton="0" quotePrefix="0" xfId="1">
      <alignment horizontal="center"/>
    </xf>
    <xf numFmtId="0" fontId="0" fillId="0" borderId="74" pivotButton="0" quotePrefix="0" xfId="0"/>
    <xf numFmtId="0" fontId="0" fillId="0" borderId="73" pivotButton="0" quotePrefix="0" xfId="0"/>
    <xf numFmtId="0" fontId="8" fillId="0" borderId="60" applyAlignment="1" pivotButton="0" quotePrefix="0" xfId="1">
      <alignment vertical="center"/>
    </xf>
    <xf numFmtId="0" fontId="0" fillId="0" borderId="2" pivotButton="0" quotePrefix="0" xfId="0"/>
    <xf numFmtId="167" fontId="8" fillId="0" borderId="68" applyAlignment="1" pivotButton="0" quotePrefix="0" xfId="1">
      <alignment horizontal="center"/>
    </xf>
    <xf numFmtId="0" fontId="8" fillId="0" borderId="128" applyAlignment="1" pivotButton="0" quotePrefix="0" xfId="1">
      <alignment horizontal="center"/>
    </xf>
    <xf numFmtId="0" fontId="0" fillId="0" borderId="76" pivotButton="0" quotePrefix="0" xfId="0"/>
    <xf numFmtId="0" fontId="0" fillId="0" borderId="90" pivotButton="0" quotePrefix="0" xfId="0"/>
    <xf numFmtId="1" fontId="8" fillId="0" borderId="13" applyAlignment="1" pivotButton="0" quotePrefix="0" xfId="1">
      <alignment horizontal="center"/>
    </xf>
    <xf numFmtId="0" fontId="0" fillId="0" borderId="16" pivotButton="0" quotePrefix="0" xfId="0"/>
    <xf numFmtId="0" fontId="0" fillId="0" borderId="8" pivotButton="0" quotePrefix="0" xfId="0"/>
    <xf numFmtId="0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14" fillId="0" borderId="60" applyAlignment="1" pivotButton="0" quotePrefix="0" xfId="1">
      <alignment vertical="center"/>
    </xf>
    <xf numFmtId="0" fontId="0" fillId="0" borderId="63" pivotButton="0" quotePrefix="0" xfId="0"/>
    <xf numFmtId="0" fontId="8" fillId="2" borderId="0" applyAlignment="1" pivotButton="0" quotePrefix="0" xfId="1">
      <alignment horizontal="center" vertical="center"/>
    </xf>
    <xf numFmtId="0" fontId="8" fillId="0" borderId="84" applyAlignment="1" pivotButton="0" quotePrefix="0" xfId="1">
      <alignment horizontal="center"/>
    </xf>
    <xf numFmtId="0" fontId="0" fillId="0" borderId="87" pivotButton="0" quotePrefix="0" xfId="0"/>
    <xf numFmtId="0" fontId="0" fillId="0" borderId="106" pivotButton="0" quotePrefix="0" xfId="0"/>
    <xf numFmtId="0" fontId="0" fillId="0" borderId="10" pivotButton="0" quotePrefix="0" xfId="0"/>
    <xf numFmtId="0" fontId="8" fillId="0" borderId="89" pivotButton="0" quotePrefix="0" xfId="1"/>
    <xf numFmtId="0" fontId="0" fillId="0" borderId="86" pivotButton="0" quotePrefix="0" xfId="0"/>
    <xf numFmtId="0" fontId="0" fillId="0" borderId="56" pivotButton="0" quotePrefix="0" xfId="0"/>
    <xf numFmtId="0" fontId="0" fillId="0" borderId="14" pivotButton="0" quotePrefix="0" xfId="0"/>
    <xf numFmtId="0" fontId="8" fillId="0" borderId="131" pivotButton="0" quotePrefix="0" xfId="1"/>
    <xf numFmtId="0" fontId="0" fillId="0" borderId="82" pivotButton="0" quotePrefix="0" xfId="0"/>
    <xf numFmtId="0" fontId="0" fillId="0" borderId="81" pivotButton="0" quotePrefix="0" xfId="0"/>
    <xf numFmtId="0" fontId="8" fillId="0" borderId="13" applyAlignment="1" pivotButton="0" quotePrefix="0" xfId="1">
      <alignment horizontal="center"/>
    </xf>
    <xf numFmtId="167" fontId="8" fillId="0" borderId="129" applyAlignment="1" pivotButton="0" quotePrefix="0" xfId="1">
      <alignment horizontal="center"/>
    </xf>
    <xf numFmtId="0" fontId="0" fillId="0" borderId="65" pivotButton="0" quotePrefix="0" xfId="0"/>
    <xf numFmtId="0" fontId="0" fillId="0" borderId="64" pivotButton="0" quotePrefix="0" xfId="0"/>
    <xf numFmtId="167" fontId="8" fillId="0" borderId="128" applyAlignment="1" pivotButton="0" quotePrefix="0" xfId="1">
      <alignment horizontal="center"/>
    </xf>
    <xf numFmtId="179" fontId="8" fillId="0" borderId="78" applyAlignment="1" pivotButton="0" quotePrefix="0" xfId="1">
      <alignment horizontal="right"/>
    </xf>
    <xf numFmtId="1" fontId="8" fillId="0" borderId="78" applyAlignment="1" pivotButton="0" quotePrefix="0" xfId="1">
      <alignment horizontal="center"/>
    </xf>
    <xf numFmtId="0" fontId="0" fillId="0" borderId="15" pivotButton="0" quotePrefix="0" xfId="0"/>
    <xf numFmtId="0" fontId="8" fillId="0" borderId="85" applyAlignment="1" pivotButton="0" quotePrefix="0" xfId="1">
      <alignment horizontal="center"/>
    </xf>
    <xf numFmtId="0" fontId="8" fillId="0" borderId="3" applyAlignment="1" pivotButton="0" quotePrefix="0" xfId="1">
      <alignment horizontal="center" vertical="center"/>
    </xf>
    <xf numFmtId="0" fontId="11" fillId="0" borderId="60" pivotButton="0" quotePrefix="0" xfId="1"/>
    <xf numFmtId="165" fontId="8" fillId="0" borderId="1" applyAlignment="1" pivotButton="0" quotePrefix="0" xfId="1">
      <alignment horizontal="right"/>
    </xf>
    <xf numFmtId="0" fontId="8" fillId="0" borderId="60" pivotButton="0" quotePrefix="0" xfId="1"/>
    <xf numFmtId="0" fontId="8" fillId="0" borderId="129" applyAlignment="1" pivotButton="0" quotePrefix="0" xfId="1">
      <alignment horizontal="center"/>
    </xf>
    <xf numFmtId="0" fontId="8" fillId="0" borderId="89" applyAlignment="1" pivotButton="0" quotePrefix="0" xfId="1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167" fontId="8" fillId="0" borderId="70" applyAlignment="1" pivotButton="0" quotePrefix="0" xfId="1">
      <alignment horizontal="center"/>
    </xf>
    <xf numFmtId="0" fontId="0" fillId="0" borderId="105" pivotButton="0" quotePrefix="0" xfId="0"/>
    <xf numFmtId="2" fontId="8" fillId="0" borderId="129" applyAlignment="1" pivotButton="0" quotePrefix="0" xfId="1">
      <alignment horizontal="center"/>
    </xf>
    <xf numFmtId="0" fontId="0" fillId="0" borderId="11" pivotButton="0" quotePrefix="0" xfId="0"/>
    <xf numFmtId="0" fontId="8" fillId="0" borderId="11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 wrapText="1"/>
    </xf>
    <xf numFmtId="167" fontId="8" fillId="0" borderId="78" applyAlignment="1" pivotButton="0" quotePrefix="0" xfId="1">
      <alignment horizontal="right"/>
    </xf>
    <xf numFmtId="0" fontId="8" fillId="0" borderId="1" pivotButton="0" quotePrefix="0" xfId="1"/>
    <xf numFmtId="0" fontId="8" fillId="0" borderId="79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0" fontId="8" fillId="0" borderId="60" applyAlignment="1" pivotButton="0" quotePrefix="0" xfId="1">
      <alignment vertical="center" wrapText="1"/>
    </xf>
    <xf numFmtId="0" fontId="8" fillId="0" borderId="110" applyAlignment="1" pivotButton="0" quotePrefix="0" xfId="1">
      <alignment horizontal="center"/>
    </xf>
    <xf numFmtId="0" fontId="8" fillId="0" borderId="59" pivotButton="0" quotePrefix="0" xfId="1"/>
    <xf numFmtId="167" fontId="8" fillId="0" borderId="125" applyAlignment="1" pivotButton="0" quotePrefix="0" xfId="1">
      <alignment horizontal="center"/>
    </xf>
    <xf numFmtId="0" fontId="0" fillId="0" borderId="126" pivotButton="0" quotePrefix="0" xfId="0"/>
    <xf numFmtId="0" fontId="0" fillId="0" borderId="127" pivotButton="0" quotePrefix="0" xfId="0"/>
    <xf numFmtId="1" fontId="8" fillId="0" borderId="129" applyAlignment="1" pivotButton="0" quotePrefix="0" xfId="1">
      <alignment horizontal="center"/>
    </xf>
    <xf numFmtId="0" fontId="8" fillId="0" borderId="69" applyAlignment="1" pivotButton="0" quotePrefix="0" xfId="1">
      <alignment horizontal="center"/>
    </xf>
    <xf numFmtId="0" fontId="0" fillId="0" borderId="6" pivotButton="0" quotePrefix="0" xfId="0"/>
    <xf numFmtId="167" fontId="8" fillId="0" borderId="69" applyAlignment="1" pivotButton="0" quotePrefix="0" xfId="1">
      <alignment horizontal="center"/>
    </xf>
    <xf numFmtId="167" fontId="8" fillId="0" borderId="13" applyAlignment="1" pivotButton="0" quotePrefix="0" xfId="1">
      <alignment horizontal="center"/>
    </xf>
    <xf numFmtId="0" fontId="8" fillId="0" borderId="68" applyAlignment="1" pivotButton="0" quotePrefix="0" xfId="1">
      <alignment horizontal="center"/>
    </xf>
    <xf numFmtId="167" fontId="8" fillId="0" borderId="78" applyAlignment="1" pivotButton="0" quotePrefix="0" xfId="1">
      <alignment horizontal="center"/>
    </xf>
    <xf numFmtId="0" fontId="8" fillId="0" borderId="11" applyAlignment="1" pivotButton="0" quotePrefix="0" xfId="1">
      <alignment horizontal="center"/>
    </xf>
    <xf numFmtId="0" fontId="8" fillId="2" borderId="53" applyAlignment="1" pivotButton="0" quotePrefix="0" xfId="1">
      <alignment horizontal="center" vertical="center"/>
    </xf>
    <xf numFmtId="0" fontId="8" fillId="0" borderId="79" pivotButton="0" quotePrefix="0" xfId="1"/>
    <xf numFmtId="0" fontId="12" fillId="0" borderId="80" applyAlignment="1" pivotButton="0" quotePrefix="0" xfId="1">
      <alignment horizontal="center" vertical="center"/>
    </xf>
    <xf numFmtId="0" fontId="0" fillId="0" borderId="102" pivotButton="0" quotePrefix="0" xfId="0"/>
    <xf numFmtId="0" fontId="0" fillId="0" borderId="134" pivotButton="0" quotePrefix="0" xfId="0"/>
    <xf numFmtId="167" fontId="8" fillId="0" borderId="122" applyAlignment="1" pivotButton="0" quotePrefix="0" xfId="1">
      <alignment horizontal="center"/>
    </xf>
    <xf numFmtId="0" fontId="0" fillId="0" borderId="135" pivotButton="0" quotePrefix="0" xfId="0"/>
    <xf numFmtId="179" fontId="8" fillId="0" borderId="1" applyAlignment="1" pivotButton="0" quotePrefix="0" xfId="1">
      <alignment horizontal="right"/>
    </xf>
    <xf numFmtId="2" fontId="8" fillId="0" borderId="128" applyAlignment="1" pivotButton="0" quotePrefix="0" xfId="1">
      <alignment horizontal="center"/>
    </xf>
    <xf numFmtId="2" fontId="8" fillId="0" borderId="1" applyAlignment="1" pivotButton="0" quotePrefix="0" xfId="1">
      <alignment horizontal="right"/>
    </xf>
    <xf numFmtId="1" fontId="8" fillId="0" borderId="69" applyAlignment="1" pivotButton="0" quotePrefix="0" xfId="1">
      <alignment horizontal="center"/>
    </xf>
    <xf numFmtId="0" fontId="12" fillId="0" borderId="130" applyAlignment="1" pivotButton="0" quotePrefix="0" xfId="1">
      <alignment horizontal="center" vertical="center"/>
    </xf>
    <xf numFmtId="0" fontId="0" fillId="0" borderId="103" pivotButton="0" quotePrefix="0" xfId="0"/>
    <xf numFmtId="167" fontId="8" fillId="0" borderId="1" applyAlignment="1" pivotButton="0" quotePrefix="0" xfId="1">
      <alignment horizontal="right"/>
    </xf>
    <xf numFmtId="0" fontId="8" fillId="0" borderId="132" pivotButton="0" quotePrefix="0" xfId="1"/>
    <xf numFmtId="0" fontId="8" fillId="0" borderId="84" applyAlignment="1" pivotButton="0" quotePrefix="0" xfId="1">
      <alignment horizontal="center" vertical="center"/>
    </xf>
    <xf numFmtId="0" fontId="0" fillId="0" borderId="104" pivotButton="0" quotePrefix="0" xfId="0"/>
    <xf numFmtId="167" fontId="8" fillId="0" borderId="11" applyAlignment="1" pivotButton="0" quotePrefix="0" xfId="1">
      <alignment horizontal="center"/>
    </xf>
    <xf numFmtId="0" fontId="8" fillId="0" borderId="133" applyAlignment="1" pivotButton="0" quotePrefix="0" xfId="1">
      <alignment wrapText="1"/>
    </xf>
    <xf numFmtId="0" fontId="0" fillId="0" borderId="58" pivotButton="0" quotePrefix="0" xfId="0"/>
    <xf numFmtId="0" fontId="0" fillId="0" borderId="57" pivotButton="0" quotePrefix="0" xfId="0"/>
    <xf numFmtId="0" fontId="0" fillId="0" borderId="55" pivotButton="0" quotePrefix="0" xfId="0"/>
    <xf numFmtId="0" fontId="0" fillId="0" borderId="54" pivotButton="0" quotePrefix="0" xfId="0"/>
    <xf numFmtId="0" fontId="0" fillId="0" borderId="52" pivotButton="0" quotePrefix="0" xfId="0"/>
    <xf numFmtId="167" fontId="8" fillId="0" borderId="12" applyAlignment="1" pivotButton="0" quotePrefix="0" xfId="1">
      <alignment horizontal="center"/>
    </xf>
    <xf numFmtId="1" fontId="8" fillId="0" borderId="128" applyAlignment="1" pivotButton="0" quotePrefix="0" xfId="1">
      <alignment horizontal="center"/>
    </xf>
    <xf numFmtId="2" fontId="8" fillId="0" borderId="69" applyAlignment="1" pivotButton="0" quotePrefix="0" xfId="1">
      <alignment horizontal="center"/>
    </xf>
    <xf numFmtId="2" fontId="8" fillId="0" borderId="11" applyAlignment="1" pivotButton="0" quotePrefix="0" xfId="1">
      <alignment horizontal="center"/>
    </xf>
    <xf numFmtId="2" fontId="8" fillId="0" borderId="13" applyAlignment="1" pivotButton="0" quotePrefix="0" xfId="1">
      <alignment horizontal="center"/>
    </xf>
    <xf numFmtId="0" fontId="16" fillId="0" borderId="10" pivotButton="0" quotePrefix="0" xfId="1"/>
    <xf numFmtId="0" fontId="8" fillId="0" borderId="69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textRotation="255"/>
    </xf>
    <xf numFmtId="0" fontId="0" fillId="0" borderId="12" pivotButton="0" quotePrefix="0" xfId="0"/>
    <xf numFmtId="0" fontId="8" fillId="0" borderId="1" applyAlignment="1" pivotButton="0" quotePrefix="0" xfId="1">
      <alignment horizontal="center" vertical="center" wrapText="1"/>
    </xf>
    <xf numFmtId="0" fontId="8" fillId="0" borderId="121" applyAlignment="1" pivotButton="0" quotePrefix="0" xfId="1">
      <alignment horizontal="center"/>
    </xf>
    <xf numFmtId="0" fontId="0" fillId="0" borderId="136" pivotButton="0" quotePrefix="0" xfId="0"/>
    <xf numFmtId="0" fontId="8" fillId="0" borderId="13" applyAlignment="1" pivotButton="0" quotePrefix="0" xfId="1">
      <alignment horizontal="center" vertical="center"/>
    </xf>
    <xf numFmtId="0" fontId="16" fillId="0" borderId="10" applyAlignment="1" pivotButton="0" quotePrefix="0" xfId="1">
      <alignment horizontal="center"/>
    </xf>
    <xf numFmtId="0" fontId="8" fillId="0" borderId="111" applyAlignment="1" pivotButton="0" quotePrefix="0" xfId="1">
      <alignment horizontal="center" vertical="center"/>
    </xf>
    <xf numFmtId="0" fontId="0" fillId="0" borderId="113" pivotButton="0" quotePrefix="0" xfId="0"/>
    <xf numFmtId="0" fontId="8" fillId="2" borderId="16" applyAlignment="1" pivotButton="0" quotePrefix="0" xfId="1">
      <alignment horizontal="center" textRotation="255"/>
    </xf>
    <xf numFmtId="0" fontId="2" fillId="0" borderId="0" applyAlignment="1" pivotButton="0" quotePrefix="0" xfId="1">
      <alignment horizontal="center"/>
    </xf>
    <xf numFmtId="0" fontId="8" fillId="2" borderId="25" applyAlignment="1" pivotButton="0" quotePrefix="0" xfId="1">
      <alignment horizontal="center"/>
    </xf>
    <xf numFmtId="0" fontId="8" fillId="2" borderId="13" applyAlignment="1" pivotButton="0" quotePrefix="0" xfId="1">
      <alignment horizontal="center" vertical="center"/>
    </xf>
    <xf numFmtId="0" fontId="8" fillId="2" borderId="23" applyAlignment="1" pivotButton="0" quotePrefix="0" xfId="1">
      <alignment horizontal="center" vertical="center"/>
    </xf>
    <xf numFmtId="0" fontId="0" fillId="0" borderId="29" pivotButton="0" quotePrefix="0" xfId="0"/>
    <xf numFmtId="0" fontId="8" fillId="2" borderId="11" applyAlignment="1" pivotButton="0" quotePrefix="0" xfId="1">
      <alignment horizontal="center" vertical="center"/>
    </xf>
    <xf numFmtId="0" fontId="8" fillId="2" borderId="9" applyAlignment="1" pivotButton="0" quotePrefix="0" xfId="1">
      <alignment horizontal="center" vertical="center"/>
    </xf>
    <xf numFmtId="0" fontId="8" fillId="2" borderId="31" applyAlignment="1" pivotButton="0" quotePrefix="0" xfId="1">
      <alignment horizontal="center" vertical="center"/>
    </xf>
    <xf numFmtId="0" fontId="0" fillId="0" borderId="33" pivotButton="0" quotePrefix="0" xfId="0"/>
    <xf numFmtId="0" fontId="8" fillId="2" borderId="1" applyAlignment="1" pivotButton="0" quotePrefix="0" xfId="1">
      <alignment horizontal="center" vertical="center" wrapText="1"/>
    </xf>
    <xf numFmtId="0" fontId="8" fillId="2" borderId="34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0" fontId="8" fillId="2" borderId="9" applyAlignment="1" pivotButton="0" quotePrefix="0" xfId="1">
      <alignment horizontal="center" textRotation="255"/>
    </xf>
    <xf numFmtId="0" fontId="8" fillId="2" borderId="30" applyAlignment="1" pivotButton="0" quotePrefix="0" xfId="1">
      <alignment horizontal="center" vertical="center"/>
    </xf>
    <xf numFmtId="0" fontId="8" fillId="2" borderId="25" applyAlignment="1" pivotButton="0" quotePrefix="0" xfId="1">
      <alignment horizontal="center" vertical="center"/>
    </xf>
    <xf numFmtId="0" fontId="8" fillId="0" borderId="111" applyAlignment="1" pivotButton="0" quotePrefix="0" xfId="1">
      <alignment horizontal="center"/>
    </xf>
    <xf numFmtId="0" fontId="8" fillId="2" borderId="36" applyAlignment="1" pivotButton="0" quotePrefix="0" xfId="1">
      <alignment horizontal="center" vertical="center"/>
    </xf>
    <xf numFmtId="0" fontId="8" fillId="2" borderId="28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/>
    </xf>
    <xf numFmtId="0" fontId="8" fillId="2" borderId="19" applyAlignment="1" pivotButton="0" quotePrefix="0" xfId="1">
      <alignment horizontal="center" vertical="center"/>
    </xf>
    <xf numFmtId="0" fontId="0" fillId="0" borderId="24" pivotButton="0" quotePrefix="0" xfId="0"/>
    <xf numFmtId="0" fontId="8" fillId="2" borderId="22" applyAlignment="1" pivotButton="0" quotePrefix="0" xfId="1">
      <alignment horizontal="center" vertical="center"/>
    </xf>
    <xf numFmtId="0" fontId="8" fillId="2" borderId="8" applyAlignment="1" pivotButton="0" quotePrefix="0" xfId="1">
      <alignment horizontal="center" textRotation="255"/>
    </xf>
    <xf numFmtId="0" fontId="8" fillId="2" borderId="138" applyAlignment="1" pivotButton="0" quotePrefix="0" xfId="1">
      <alignment horizontal="center" vertical="center"/>
    </xf>
    <xf numFmtId="0" fontId="0" fillId="0" borderId="119" pivotButton="0" quotePrefix="0" xfId="0"/>
    <xf numFmtId="0" fontId="8" fillId="2" borderId="26" applyAlignment="1" pivotButton="0" quotePrefix="0" xfId="1">
      <alignment horizontal="center" vertical="center"/>
    </xf>
    <xf numFmtId="0" fontId="0" fillId="0" borderId="35" pivotButton="0" quotePrefix="0" xfId="0"/>
    <xf numFmtId="0" fontId="8" fillId="2" borderId="10" applyAlignment="1" pivotButton="0" quotePrefix="0" xfId="1">
      <alignment horizontal="center"/>
    </xf>
    <xf numFmtId="0" fontId="8" fillId="2" borderId="5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8" fillId="2" borderId="36" applyAlignment="1" pivotButton="0" quotePrefix="0" xfId="1">
      <alignment horizontal="center"/>
    </xf>
    <xf numFmtId="0" fontId="8" fillId="0" borderId="26" applyAlignment="1" pivotButton="0" quotePrefix="0" xfId="1">
      <alignment horizontal="center" vertical="center"/>
    </xf>
    <xf numFmtId="0" fontId="0" fillId="0" borderId="31" pivotButton="0" quotePrefix="0" xfId="0"/>
    <xf numFmtId="0" fontId="8" fillId="2" borderId="137" applyAlignment="1" pivotButton="0" quotePrefix="0" xfId="1">
      <alignment horizontal="center" vertical="center"/>
    </xf>
    <xf numFmtId="0" fontId="0" fillId="0" borderId="118" pivotButton="0" quotePrefix="0" xfId="0"/>
    <xf numFmtId="0" fontId="8" fillId="2" borderId="15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0" fillId="0" borderId="22" pivotButton="0" quotePrefix="0" xfId="0"/>
    <xf numFmtId="0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left" vertical="center" wrapText="1"/>
    </xf>
    <xf numFmtId="49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vertical="center"/>
    </xf>
    <xf numFmtId="0" fontId="11" fillId="0" borderId="37" applyAlignment="1" pivotButton="0" quotePrefix="0" xfId="1">
      <alignment vertical="center"/>
    </xf>
    <xf numFmtId="0" fontId="0" fillId="0" borderId="41" pivotButton="0" quotePrefix="0" xfId="0"/>
    <xf numFmtId="0" fontId="11" fillId="0" borderId="11" applyAlignment="1" pivotButton="0" quotePrefix="0" xfId="1">
      <alignment vertical="center"/>
    </xf>
    <xf numFmtId="0" fontId="11" fillId="0" borderId="11" applyAlignment="1" pivotButton="0" quotePrefix="0" xfId="1">
      <alignment horizontal="center" vertical="center"/>
    </xf>
    <xf numFmtId="0" fontId="11" fillId="2" borderId="8" applyAlignment="1" pivotButton="0" quotePrefix="0" xfId="1">
      <alignment horizontal="center" vertical="center"/>
    </xf>
    <xf numFmtId="0" fontId="11" fillId="0" borderId="40" applyAlignment="1" pivotButton="0" quotePrefix="0" xfId="1">
      <alignment vertical="center"/>
    </xf>
    <xf numFmtId="0" fontId="0" fillId="0" borderId="38" pivotButton="0" quotePrefix="0" xfId="0"/>
    <xf numFmtId="0" fontId="11" fillId="2" borderId="15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11" fillId="0" borderId="12" applyAlignment="1" pivotButton="0" quotePrefix="0" xfId="1">
      <alignment horizontal="center" vertical="center"/>
    </xf>
    <xf numFmtId="0" fontId="11" fillId="0" borderId="1" applyAlignment="1" pivotButton="0" quotePrefix="0" xfId="1">
      <alignment vertical="center" wrapText="1"/>
    </xf>
    <xf numFmtId="0" fontId="11" fillId="0" borderId="37" applyAlignment="1" pivotButton="0" quotePrefix="0" xfId="1">
      <alignment horizontal="left" vertical="center"/>
    </xf>
    <xf numFmtId="0" fontId="11" fillId="0" borderId="11" applyAlignment="1" pivotButton="0" quotePrefix="0" xfId="1">
      <alignment horizontal="left" vertical="center"/>
    </xf>
    <xf numFmtId="0" fontId="8" fillId="2" borderId="10" applyAlignment="1" pivotButton="0" quotePrefix="0" xfId="1">
      <alignment horizontal="left" vertical="center"/>
    </xf>
    <xf numFmtId="0" fontId="11" fillId="0" borderId="43" applyAlignment="1" pivotButton="0" quotePrefix="0" xfId="1">
      <alignment horizontal="left" vertical="center"/>
    </xf>
    <xf numFmtId="0" fontId="0" fillId="0" borderId="44" pivotButton="0" quotePrefix="0" xfId="0"/>
    <xf numFmtId="0" fontId="11" fillId="2" borderId="16" applyAlignment="1" pivotButton="0" quotePrefix="0" xfId="1">
      <alignment vertical="center"/>
    </xf>
    <xf numFmtId="0" fontId="11" fillId="0" borderId="11" applyAlignment="1" pivotButton="0" quotePrefix="0" xfId="1">
      <alignment horizontal="left" vertical="center" wrapText="1"/>
    </xf>
    <xf numFmtId="0" fontId="11" fillId="0" borderId="13" applyAlignment="1" pivotButton="0" quotePrefix="0" xfId="1">
      <alignment vertical="center" wrapText="1"/>
    </xf>
    <xf numFmtId="0" fontId="11" fillId="0" borderId="17" applyAlignment="1" pivotButton="0" quotePrefix="0" xfId="1">
      <alignment horizontal="center" vertical="center"/>
    </xf>
    <xf numFmtId="0" fontId="11" fillId="0" borderId="43" applyAlignment="1" pivotButton="0" quotePrefix="0" xfId="1">
      <alignment vertical="center" shrinkToFit="1"/>
    </xf>
    <xf numFmtId="0" fontId="11" fillId="2" borderId="15" applyAlignment="1" pivotButton="0" quotePrefix="0" xfId="1">
      <alignment horizontal="left" vertical="center"/>
    </xf>
    <xf numFmtId="0" fontId="11" fillId="0" borderId="13" applyAlignment="1" pivotButton="0" quotePrefix="0" xfId="1">
      <alignment horizontal="left" vertical="center"/>
    </xf>
    <xf numFmtId="49" fontId="11" fillId="0" borderId="13" applyAlignment="1" pivotButton="0" quotePrefix="0" xfId="1">
      <alignment horizontal="center" vertical="center"/>
    </xf>
    <xf numFmtId="0" fontId="18" fillId="2" borderId="15" applyAlignment="1" pivotButton="0" quotePrefix="0" xfId="1">
      <alignment horizontal="left" vertical="center" wrapText="1"/>
    </xf>
    <xf numFmtId="0" fontId="11" fillId="0" borderId="1" applyAlignment="1" pivotButton="0" quotePrefix="0" xfId="1">
      <alignment horizontal="left" vertical="center"/>
    </xf>
    <xf numFmtId="0" fontId="11" fillId="2" borderId="7" applyAlignment="1" pivotButton="0" quotePrefix="0" xfId="1">
      <alignment vertical="center"/>
    </xf>
    <xf numFmtId="0" fontId="11" fillId="2" borderId="77" applyAlignment="1" pivotButton="0" quotePrefix="0" xfId="1">
      <alignment vertical="center"/>
    </xf>
    <xf numFmtId="0" fontId="16" fillId="2" borderId="1" applyAlignment="1" pivotButton="0" quotePrefix="0" xfId="1">
      <alignment vertical="center" textRotation="255"/>
    </xf>
    <xf numFmtId="0" fontId="11" fillId="2" borderId="13" applyAlignment="1" pivotButton="0" quotePrefix="0" xfId="1">
      <alignment vertical="center"/>
    </xf>
    <xf numFmtId="0" fontId="16" fillId="2" borderId="13" applyAlignment="1" pivotButton="0" quotePrefix="0" xfId="1">
      <alignment horizontal="center" vertical="center" textRotation="255"/>
    </xf>
    <xf numFmtId="0" fontId="11" fillId="2" borderId="61" applyAlignment="1" pivotButton="0" quotePrefix="0" xfId="1">
      <alignment vertical="center"/>
    </xf>
    <xf numFmtId="0" fontId="11" fillId="2" borderId="1" applyAlignment="1" pivotButton="0" quotePrefix="0" xfId="1">
      <alignment vertical="center"/>
    </xf>
    <xf numFmtId="0" fontId="16" fillId="2" borderId="12" applyAlignment="1" pivotButton="0" quotePrefix="0" xfId="1">
      <alignment horizontal="center" vertical="center" textRotation="255"/>
    </xf>
    <xf numFmtId="0" fontId="11" fillId="2" borderId="1" applyAlignment="1" pivotButton="0" quotePrefix="0" xfId="1">
      <alignment horizontal="center" vertical="center"/>
    </xf>
    <xf numFmtId="0" fontId="11" fillId="2" borderId="7" applyAlignment="1" pivotButton="0" quotePrefix="0" xfId="1">
      <alignment vertical="center" shrinkToFit="1"/>
    </xf>
    <xf numFmtId="0" fontId="11" fillId="2" borderId="1" applyAlignment="1" pivotButton="0" quotePrefix="0" xfId="1">
      <alignment vertical="center" wrapText="1"/>
    </xf>
    <xf numFmtId="0" fontId="11" fillId="2" borderId="139" applyAlignment="1" pivotButton="0" quotePrefix="0" xfId="1">
      <alignment vertical="center"/>
    </xf>
    <xf numFmtId="0" fontId="11" fillId="2" borderId="3" applyAlignment="1" pivotButton="0" quotePrefix="0" xfId="1">
      <alignment vertical="center"/>
    </xf>
    <xf numFmtId="0" fontId="11" fillId="2" borderId="97" applyAlignment="1" pivotButton="0" quotePrefix="0" xfId="1">
      <alignment vertical="center" shrinkToFit="1"/>
    </xf>
    <xf numFmtId="0" fontId="11" fillId="2" borderId="69" applyAlignment="1" pivotButton="0" quotePrefix="0" xfId="1">
      <alignment vertical="center"/>
    </xf>
    <xf numFmtId="0" fontId="11" fillId="2" borderId="66" applyAlignment="1" pivotButton="0" quotePrefix="0" xfId="1">
      <alignment vertical="center"/>
    </xf>
    <xf numFmtId="0" fontId="11" fillId="2" borderId="94" applyAlignment="1" pivotButton="0" quotePrefix="0" xfId="1">
      <alignment vertical="center"/>
    </xf>
    <xf numFmtId="0" fontId="11" fillId="2" borderId="11" applyAlignment="1" pivotButton="0" quotePrefix="0" xfId="1">
      <alignment vertical="center"/>
    </xf>
    <xf numFmtId="0" fontId="16" fillId="2" borderId="1" applyAlignment="1" pivotButton="0" quotePrefix="0" xfId="1">
      <alignment horizontal="center" vertical="center" textRotation="255"/>
    </xf>
    <xf numFmtId="0" fontId="11" fillId="2" borderId="2" applyAlignment="1" pivotButton="0" quotePrefix="0" xfId="1">
      <alignment vertical="center"/>
    </xf>
    <xf numFmtId="0" fontId="11" fillId="2" borderId="71" applyAlignment="1" pivotButton="0" quotePrefix="0" xfId="1">
      <alignment vertical="center"/>
    </xf>
    <xf numFmtId="0" fontId="11" fillId="2" borderId="13" pivotButton="0" quotePrefix="0" xfId="1"/>
    <xf numFmtId="0" fontId="11" fillId="2" borderId="11" applyAlignment="1" pivotButton="0" quotePrefix="0" xfId="1">
      <alignment vertical="top"/>
    </xf>
    <xf numFmtId="0" fontId="8" fillId="2" borderId="13" applyAlignment="1" pivotButton="0" quotePrefix="0" xfId="1">
      <alignment vertical="center" textRotation="255" shrinkToFit="1"/>
    </xf>
    <xf numFmtId="0" fontId="11" fillId="2" borderId="1" applyAlignment="1" pivotButton="0" quotePrefix="0" xfId="1">
      <alignment vertical="center" textRotation="255"/>
    </xf>
    <xf numFmtId="0" fontId="11" fillId="2" borderId="13" applyAlignment="1" pivotButton="0" quotePrefix="0" xfId="1">
      <alignment vertical="center" wrapText="1"/>
    </xf>
    <xf numFmtId="0" fontId="8" fillId="2" borderId="1" applyAlignment="1" pivotButton="0" quotePrefix="0" xfId="1">
      <alignment horizontal="center" vertical="center" shrinkToFit="1"/>
    </xf>
    <xf numFmtId="0" fontId="11" fillId="0" borderId="3" applyAlignment="1" pivotButton="0" quotePrefix="0" xfId="3">
      <alignment horizontal="left" vertical="center"/>
    </xf>
    <xf numFmtId="0" fontId="16" fillId="0" borderId="9" applyAlignment="1" pivotButton="0" quotePrefix="0" xfId="3">
      <alignment vertical="center"/>
    </xf>
    <xf numFmtId="0" fontId="7" fillId="0" borderId="0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/>
    </xf>
    <xf numFmtId="0" fontId="22" fillId="0" borderId="0" applyAlignment="1" pivotButton="0" quotePrefix="0" xfId="3">
      <alignment horizontal="center" vertical="center"/>
    </xf>
    <xf numFmtId="0" fontId="8" fillId="2" borderId="15" applyAlignment="1" pivotButton="0" quotePrefix="0" xfId="1">
      <alignment horizontal="left" vertical="center" wrapText="1"/>
    </xf>
    <xf numFmtId="0" fontId="8" fillId="0" borderId="1" applyAlignment="1" pivotButton="0" quotePrefix="0" xfId="3">
      <alignment horizontal="center" vertical="center"/>
    </xf>
    <xf numFmtId="170" fontId="8" fillId="0" borderId="11" applyAlignment="1" pivotButton="0" quotePrefix="0" xfId="1">
      <alignment horizontal="right" vertical="center" shrinkToFit="1"/>
    </xf>
    <xf numFmtId="180" fontId="5" fillId="0" borderId="0" applyAlignment="1" pivotButton="0" quotePrefix="0" xfId="0">
      <alignment horizontal="distributed" vertical="center"/>
    </xf>
    <xf numFmtId="180" fontId="5" fillId="0" borderId="0" applyAlignment="1" pivotButton="0" quotePrefix="0" xfId="0">
      <alignment horizontal="center" vertical="center"/>
    </xf>
    <xf numFmtId="164" fontId="10" fillId="0" borderId="88" applyAlignment="1" pivotButton="0" quotePrefix="0" xfId="1">
      <alignment horizontal="center" shrinkToFit="1"/>
    </xf>
    <xf numFmtId="164" fontId="8" fillId="0" borderId="88" applyAlignment="1" pivotButton="0" quotePrefix="0" xfId="1">
      <alignment horizontal="center" shrinkToFit="1"/>
    </xf>
    <xf numFmtId="165" fontId="10" fillId="3" borderId="3" applyAlignment="1" pivotButton="0" quotePrefix="0" xfId="1">
      <alignment horizontal="right"/>
    </xf>
    <xf numFmtId="165" fontId="8" fillId="3" borderId="3" applyAlignment="1" pivotButton="0" quotePrefix="0" xfId="1">
      <alignment horizontal="right"/>
    </xf>
    <xf numFmtId="179" fontId="8" fillId="0" borderId="78" applyAlignment="1" pivotButton="0" quotePrefix="0" xfId="1">
      <alignment horizontal="right"/>
    </xf>
    <xf numFmtId="166" fontId="8" fillId="0" borderId="140" pivotButton="0" quotePrefix="0" xfId="1"/>
    <xf numFmtId="167" fontId="8" fillId="0" borderId="78" applyAlignment="1" pivotButton="0" quotePrefix="0" xfId="1">
      <alignment horizontal="right"/>
    </xf>
    <xf numFmtId="167" fontId="10" fillId="3" borderId="3" applyAlignment="1" pivotButton="0" quotePrefix="0" xfId="1">
      <alignment horizontal="right"/>
    </xf>
    <xf numFmtId="167" fontId="8" fillId="3" borderId="3" applyAlignment="1" pivotButton="0" quotePrefix="0" xfId="1">
      <alignment horizontal="right"/>
    </xf>
    <xf numFmtId="167" fontId="10" fillId="3" borderId="83" applyAlignment="1" pivotButton="0" quotePrefix="0" xfId="1">
      <alignment horizontal="right"/>
    </xf>
    <xf numFmtId="167" fontId="8" fillId="3" borderId="83" applyAlignment="1" pivotButton="0" quotePrefix="0" xfId="1">
      <alignment horizontal="right"/>
    </xf>
    <xf numFmtId="164" fontId="10" fillId="0" borderId="88" applyAlignment="1" pivotButton="0" quotePrefix="0" xfId="1">
      <alignment horizontal="center" vertical="center" shrinkToFit="1"/>
    </xf>
    <xf numFmtId="164" fontId="8" fillId="0" borderId="88" applyAlignment="1" pivotButton="0" quotePrefix="0" xfId="1">
      <alignment horizontal="center" vertical="center" shrinkToFit="1"/>
    </xf>
    <xf numFmtId="167" fontId="10" fillId="3" borderId="77" applyAlignment="1" pivotButton="0" quotePrefix="0" xfId="1">
      <alignment horizontal="center"/>
    </xf>
    <xf numFmtId="167" fontId="8" fillId="3" borderId="77" applyAlignment="1" pivotButton="0" quotePrefix="0" xfId="1">
      <alignment horizontal="center"/>
    </xf>
    <xf numFmtId="167" fontId="8" fillId="0" borderId="128" applyAlignment="1" pivotButton="0" quotePrefix="0" xfId="1">
      <alignment horizontal="center"/>
    </xf>
    <xf numFmtId="167" fontId="10" fillId="3" borderId="7" applyAlignment="1" pivotButton="0" quotePrefix="0" xfId="1">
      <alignment horizontal="center"/>
    </xf>
    <xf numFmtId="167" fontId="8" fillId="3" borderId="7" applyAlignment="1" pivotButton="0" quotePrefix="0" xfId="1">
      <alignment horizontal="center"/>
    </xf>
    <xf numFmtId="167" fontId="8" fillId="0" borderId="68" applyAlignment="1" pivotButton="0" quotePrefix="0" xfId="1">
      <alignment horizontal="center"/>
    </xf>
    <xf numFmtId="167" fontId="10" fillId="3" borderId="66" applyAlignment="1" pivotButton="0" quotePrefix="0" xfId="1">
      <alignment horizontal="center"/>
    </xf>
    <xf numFmtId="167" fontId="8" fillId="3" borderId="66" applyAlignment="1" pivotButton="0" quotePrefix="0" xfId="1">
      <alignment horizontal="center"/>
    </xf>
    <xf numFmtId="167" fontId="8" fillId="0" borderId="129" applyAlignment="1" pivotButton="0" quotePrefix="0" xfId="1">
      <alignment horizontal="center"/>
    </xf>
    <xf numFmtId="167" fontId="8" fillId="0" borderId="78" applyAlignment="1" pivotButton="0" quotePrefix="0" xfId="1">
      <alignment horizontal="center"/>
    </xf>
    <xf numFmtId="168" fontId="8" fillId="0" borderId="140" pivotButton="0" quotePrefix="0" xfId="1"/>
    <xf numFmtId="167" fontId="8" fillId="0" borderId="125" applyAlignment="1" pivotButton="0" quotePrefix="0" xfId="1">
      <alignment horizontal="center"/>
    </xf>
    <xf numFmtId="167" fontId="8" fillId="0" borderId="70" applyAlignment="1" pivotButton="0" quotePrefix="0" xfId="1">
      <alignment horizontal="center"/>
    </xf>
    <xf numFmtId="0" fontId="8" fillId="2" borderId="140" applyAlignment="1" pivotButton="0" quotePrefix="0" xfId="1">
      <alignment horizontal="center" vertical="center"/>
    </xf>
    <xf numFmtId="164" fontId="8" fillId="0" borderId="85" applyAlignment="1" pivotButton="0" quotePrefix="0" xfId="1">
      <alignment horizontal="center" shrinkToFit="1"/>
    </xf>
    <xf numFmtId="164" fontId="8" fillId="0" borderId="140" pivotButton="0" quotePrefix="0" xfId="1"/>
    <xf numFmtId="165" fontId="8" fillId="3" borderId="1" applyAlignment="1" pivotButton="0" quotePrefix="0" xfId="1">
      <alignment horizontal="right"/>
    </xf>
    <xf numFmtId="179" fontId="8" fillId="0" borderId="1" applyAlignment="1" pivotButton="0" quotePrefix="0" xfId="1">
      <alignment horizontal="right"/>
    </xf>
    <xf numFmtId="165" fontId="8" fillId="0" borderId="140" pivotButton="0" quotePrefix="0" xfId="1"/>
    <xf numFmtId="167" fontId="8" fillId="0" borderId="1" applyAlignment="1" pivotButton="0" quotePrefix="0" xfId="1">
      <alignment horizontal="right"/>
    </xf>
    <xf numFmtId="167" fontId="8" fillId="0" borderId="140" pivotButton="0" quotePrefix="0" xfId="1"/>
    <xf numFmtId="167" fontId="8" fillId="3" borderId="1" applyAlignment="1" pivotButton="0" quotePrefix="0" xfId="1">
      <alignment horizontal="right"/>
    </xf>
    <xf numFmtId="164" fontId="8" fillId="0" borderId="11" applyAlignment="1" pivotButton="0" quotePrefix="0" xfId="1">
      <alignment horizontal="center" vertical="center" shrinkToFit="1"/>
    </xf>
    <xf numFmtId="167" fontId="8" fillId="0" borderId="69" applyAlignment="1" pivotButton="0" quotePrefix="0" xfId="1">
      <alignment horizontal="center"/>
    </xf>
    <xf numFmtId="167" fontId="8" fillId="0" borderId="122" applyAlignment="1" pivotButton="0" quotePrefix="0" xfId="1">
      <alignment horizontal="center"/>
    </xf>
    <xf numFmtId="167" fontId="8" fillId="0" borderId="12" applyAlignment="1" pivotButton="0" quotePrefix="0" xfId="1">
      <alignment horizontal="center"/>
    </xf>
    <xf numFmtId="164" fontId="10" fillId="0" borderId="5" applyAlignment="1" pivotButton="0" quotePrefix="0" xfId="1">
      <alignment horizontal="center" shrinkToFit="1"/>
    </xf>
    <xf numFmtId="164" fontId="8" fillId="0" borderId="5" applyAlignment="1" pivotButton="0" quotePrefix="0" xfId="1">
      <alignment horizontal="center" shrinkToFit="1"/>
    </xf>
    <xf numFmtId="165" fontId="10" fillId="3" borderId="1" pivotButton="0" quotePrefix="0" xfId="1"/>
    <xf numFmtId="165" fontId="8" fillId="0" borderId="1" applyAlignment="1" pivotButton="0" quotePrefix="0" xfId="1">
      <alignment horizontal="right"/>
    </xf>
    <xf numFmtId="167" fontId="10" fillId="3" borderId="1" pivotButton="0" quotePrefix="0" xfId="1"/>
    <xf numFmtId="167" fontId="10" fillId="3" borderId="110" pivotButton="0" quotePrefix="0" xfId="1"/>
    <xf numFmtId="167" fontId="8" fillId="3" borderId="13" applyAlignment="1" pivotButton="0" quotePrefix="0" xfId="1">
      <alignment horizontal="right"/>
    </xf>
    <xf numFmtId="164" fontId="10" fillId="0" borderId="11" applyAlignment="1" pivotButton="0" quotePrefix="0" xfId="1">
      <alignment horizontal="center" vertical="center" shrinkToFit="1"/>
    </xf>
    <xf numFmtId="167" fontId="8" fillId="0" borderId="13" applyAlignment="1" pivotButton="0" quotePrefix="0" xfId="1">
      <alignment horizontal="center"/>
    </xf>
    <xf numFmtId="167" fontId="10" fillId="3" borderId="11" applyAlignment="1" pivotButton="0" quotePrefix="0" xfId="1">
      <alignment horizontal="center"/>
    </xf>
    <xf numFmtId="167" fontId="8" fillId="3" borderId="11" applyAlignment="1" pivotButton="0" quotePrefix="0" xfId="1">
      <alignment horizontal="center"/>
    </xf>
    <xf numFmtId="167" fontId="10" fillId="3" borderId="13" applyAlignment="1" pivotButton="0" quotePrefix="0" xfId="1">
      <alignment horizontal="center"/>
    </xf>
    <xf numFmtId="167" fontId="8" fillId="3" borderId="13" applyAlignment="1" pivotButton="0" quotePrefix="0" xfId="1">
      <alignment horizontal="center"/>
    </xf>
    <xf numFmtId="167" fontId="8" fillId="0" borderId="11" applyAlignment="1" pivotButton="0" quotePrefix="0" xfId="1">
      <alignment horizontal="center"/>
    </xf>
    <xf numFmtId="176" fontId="8" fillId="0" borderId="111" pivotButton="0" quotePrefix="0" xfId="1"/>
    <xf numFmtId="169" fontId="8" fillId="0" borderId="111" applyAlignment="1" pivotButton="0" quotePrefix="0" xfId="1">
      <alignment horizontal="center"/>
    </xf>
    <xf numFmtId="165" fontId="8" fillId="0" borderId="111" applyAlignment="1" pivotButton="0" quotePrefix="0" xfId="1">
      <alignment horizontal="center" vertical="center" shrinkToFit="1"/>
    </xf>
    <xf numFmtId="167" fontId="8" fillId="0" borderId="111" applyAlignment="1" pivotButton="0" quotePrefix="0" xfId="1">
      <alignment horizontal="center" shrinkToFit="1"/>
    </xf>
    <xf numFmtId="170" fontId="8" fillId="0" borderId="11" applyAlignment="1" pivotButton="0" quotePrefix="0" xfId="1">
      <alignment horizontal="right" vertical="center" shrinkToFit="1"/>
    </xf>
    <xf numFmtId="167" fontId="8" fillId="0" borderId="11" applyAlignment="1" pivotButton="0" quotePrefix="0" xfId="1">
      <alignment vertical="center" shrinkToFit="1"/>
    </xf>
    <xf numFmtId="170" fontId="8" fillId="0" borderId="140" applyAlignment="1" pivotButton="0" quotePrefix="0" xfId="1">
      <alignment horizontal="right" vertical="center" shrinkToFit="1"/>
    </xf>
    <xf numFmtId="167" fontId="8" fillId="0" borderId="140" applyAlignment="1" pivotButton="0" quotePrefix="0" xfId="1">
      <alignment horizontal="right"/>
    </xf>
    <xf numFmtId="176" fontId="8" fillId="0" borderId="1" pivotButton="0" quotePrefix="0" xfId="1"/>
    <xf numFmtId="169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 vertical="center" shrinkToFit="1"/>
    </xf>
    <xf numFmtId="167" fontId="8" fillId="0" borderId="1" applyAlignment="1" pivotButton="0" quotePrefix="0" xfId="1">
      <alignment horizontal="center" shrinkToFit="1"/>
    </xf>
    <xf numFmtId="170" fontId="8" fillId="0" borderId="1" applyAlignment="1" pivotButton="0" quotePrefix="0" xfId="1">
      <alignment horizontal="right" vertical="center" shrinkToFit="1"/>
    </xf>
    <xf numFmtId="167" fontId="8" fillId="0" borderId="1" applyAlignment="1" pivotButton="0" quotePrefix="0" xfId="1">
      <alignment vertical="center" shrinkToFit="1"/>
    </xf>
    <xf numFmtId="167" fontId="8" fillId="0" borderId="1" applyAlignment="1" pivotButton="0" quotePrefix="0" xfId="1">
      <alignment horizontal="right" shrinkToFit="1"/>
    </xf>
    <xf numFmtId="170" fontId="8" fillId="0" borderId="140" applyAlignment="1" pivotButton="0" quotePrefix="0" xfId="1">
      <alignment horizontal="center" vertical="center"/>
    </xf>
    <xf numFmtId="167" fontId="8" fillId="0" borderId="1" applyAlignment="1" pivotButton="0" quotePrefix="0" xfId="1">
      <alignment horizontal="center"/>
    </xf>
    <xf numFmtId="168" fontId="8" fillId="0" borderId="1" applyAlignment="1" pivotButton="0" quotePrefix="0" xfId="1">
      <alignment horizontal="center" shrinkToFit="1"/>
    </xf>
    <xf numFmtId="170" fontId="8" fillId="0" borderId="1" applyAlignment="1" pivotButton="0" quotePrefix="0" xfId="1">
      <alignment horizontal="right"/>
    </xf>
    <xf numFmtId="165" fontId="8" fillId="0" borderId="3" applyAlignment="1" pivotButton="0" quotePrefix="0" xfId="1">
      <alignment horizontal="center"/>
    </xf>
    <xf numFmtId="167" fontId="8" fillId="0" borderId="0" applyAlignment="1" pivotButton="0" quotePrefix="0" xfId="1">
      <alignment horizontal="center"/>
    </xf>
    <xf numFmtId="170" fontId="8" fillId="0" borderId="140" pivotButton="0" quotePrefix="0" xfId="1"/>
    <xf numFmtId="171" fontId="8" fillId="0" borderId="140" applyAlignment="1" pivotButton="0" quotePrefix="0" xfId="1">
      <alignment horizontal="center" vertical="center"/>
    </xf>
    <xf numFmtId="169" fontId="8" fillId="0" borderId="13" applyAlignment="1" pivotButton="0" quotePrefix="0" xfId="1">
      <alignment horizontal="center"/>
    </xf>
    <xf numFmtId="165" fontId="8" fillId="0" borderId="12" applyAlignment="1" pivotButton="0" quotePrefix="0" xfId="1">
      <alignment horizontal="center" vertical="center" shrinkToFit="1"/>
    </xf>
    <xf numFmtId="167" fontId="8" fillId="0" borderId="12" applyAlignment="1" pivotButton="0" quotePrefix="0" xfId="1">
      <alignment horizontal="center" shrinkToFit="1"/>
    </xf>
    <xf numFmtId="176" fontId="8" fillId="0" borderId="11" pivotButton="0" quotePrefix="0" xfId="1"/>
    <xf numFmtId="167" fontId="8" fillId="0" borderId="11" applyAlignment="1" pivotButton="0" quotePrefix="0" xfId="1">
      <alignment horizontal="right" shrinkToFit="1"/>
    </xf>
    <xf numFmtId="169" fontId="8" fillId="0" borderId="11" applyAlignment="1" pivotButton="0" quotePrefix="0" xfId="1">
      <alignment horizontal="center"/>
    </xf>
    <xf numFmtId="167" fontId="14" fillId="0" borderId="1" applyAlignment="1" pivotButton="0" quotePrefix="0" xfId="1">
      <alignment horizontal="center" shrinkToFit="1"/>
    </xf>
    <xf numFmtId="172" fontId="8" fillId="0" borderId="140" applyAlignment="1" pivotButton="0" quotePrefix="0" xfId="1">
      <alignment horizontal="center" vertical="center"/>
    </xf>
    <xf numFmtId="173" fontId="8" fillId="0" borderId="1" applyAlignment="1" pivotButton="0" quotePrefix="0" xfId="1">
      <alignment horizontal="center"/>
    </xf>
    <xf numFmtId="173" fontId="8" fillId="0" borderId="1" applyAlignment="1" pivotButton="0" quotePrefix="0" xfId="1">
      <alignment horizontal="center" vertical="center"/>
    </xf>
    <xf numFmtId="168" fontId="8" fillId="0" borderId="1" applyAlignment="1" pivotButton="0" quotePrefix="0" xfId="1">
      <alignment horizontal="center"/>
    </xf>
    <xf numFmtId="174" fontId="8" fillId="0" borderId="1" applyAlignment="1" pivotButton="0" quotePrefix="0" xfId="1">
      <alignment horizontal="center" vertical="center"/>
    </xf>
    <xf numFmtId="166" fontId="8" fillId="0" borderId="1" applyAlignment="1" pivotButton="0" quotePrefix="0" xfId="1">
      <alignment horizontal="center"/>
    </xf>
    <xf numFmtId="172" fontId="8" fillId="0" borderId="1" applyAlignment="1" pivotButton="0" quotePrefix="0" xfId="1">
      <alignment horizontal="center"/>
    </xf>
    <xf numFmtId="171" fontId="8" fillId="0" borderId="1" applyAlignment="1" pivotButton="0" quotePrefix="0" xfId="1">
      <alignment horizontal="center"/>
    </xf>
    <xf numFmtId="166" fontId="8" fillId="0" borderId="140" applyAlignment="1" pivotButton="0" quotePrefix="0" xfId="1">
      <alignment horizontal="center"/>
    </xf>
    <xf numFmtId="171" fontId="8" fillId="0" borderId="140" applyAlignment="1" pivotButton="0" quotePrefix="0" xfId="1">
      <alignment horizontal="center"/>
    </xf>
    <xf numFmtId="175" fontId="8" fillId="0" borderId="1" applyAlignment="1" pivotButton="0" quotePrefix="0" xfId="1">
      <alignment horizontal="center"/>
    </xf>
    <xf numFmtId="175" fontId="8" fillId="0" borderId="1" applyAlignment="1" pivotButton="0" quotePrefix="0" xfId="1">
      <alignment horizontal="center" vertical="center"/>
    </xf>
    <xf numFmtId="165" fontId="8" fillId="0" borderId="140" applyAlignment="1" pivotButton="0" quotePrefix="0" xfId="1">
      <alignment horizontal="center" vertical="center" shrinkToFit="1"/>
    </xf>
    <xf numFmtId="167" fontId="8" fillId="0" borderId="140" applyAlignment="1" pivotButton="0" quotePrefix="0" xfId="1">
      <alignment horizontal="center" vertical="center" shrinkToFit="1"/>
    </xf>
    <xf numFmtId="165" fontId="8" fillId="0" borderId="140" applyAlignment="1" pivotButton="0" quotePrefix="0" xfId="1">
      <alignment horizontal="center"/>
    </xf>
    <xf numFmtId="176" fontId="8" fillId="0" borderId="111" applyAlignment="1" pivotButton="0" quotePrefix="0" xfId="1">
      <alignment horizontal="center"/>
    </xf>
    <xf numFmtId="167" fontId="8" fillId="0" borderId="111" applyAlignment="1" pivotButton="0" quotePrefix="0" xfId="1">
      <alignment horizontal="center" vertical="center" shrinkToFit="1"/>
    </xf>
    <xf numFmtId="167" fontId="8" fillId="0" borderId="111" applyAlignment="1" pivotButton="0" quotePrefix="0" xfId="1">
      <alignment horizontal="center"/>
    </xf>
    <xf numFmtId="167" fontId="8" fillId="0" borderId="112" applyAlignment="1" pivotButton="0" quotePrefix="0" xfId="1">
      <alignment horizontal="center" vertical="center" shrinkToFit="1"/>
    </xf>
    <xf numFmtId="167" fontId="8" fillId="0" borderId="11" applyAlignment="1" pivotButton="0" quotePrefix="0" xfId="1">
      <alignment horizontal="center" vertical="center" shrinkToFit="1"/>
    </xf>
    <xf numFmtId="167" fontId="8" fillId="0" borderId="5" applyAlignment="1" pivotButton="0" quotePrefix="0" xfId="1">
      <alignment horizontal="center" vertical="center" shrinkToFit="1"/>
    </xf>
    <xf numFmtId="167" fontId="8" fillId="0" borderId="115" applyAlignment="1" pivotButton="0" quotePrefix="0" xfId="1">
      <alignment horizontal="center" vertical="center" shrinkToFit="1"/>
    </xf>
    <xf numFmtId="167" fontId="8" fillId="0" borderId="113" applyAlignment="1" pivotButton="0" quotePrefix="0" xfId="1">
      <alignment horizontal="center"/>
    </xf>
    <xf numFmtId="176" fontId="8" fillId="0" borderId="1" applyAlignment="1" pivotButton="0" quotePrefix="0" xfId="1">
      <alignment horizontal="center"/>
    </xf>
    <xf numFmtId="167" fontId="8" fillId="0" borderId="1" applyAlignment="1" pivotButton="0" quotePrefix="0" xfId="1">
      <alignment horizontal="center" vertical="center" shrinkToFit="1"/>
    </xf>
    <xf numFmtId="167" fontId="8" fillId="3" borderId="1" applyAlignment="1" pivotButton="0" quotePrefix="0" xfId="1">
      <alignment horizontal="center"/>
    </xf>
    <xf numFmtId="167" fontId="8" fillId="0" borderId="19" applyAlignment="1" pivotButton="0" quotePrefix="0" xfId="1">
      <alignment horizontal="center" vertical="center" shrinkToFit="1"/>
    </xf>
    <xf numFmtId="167" fontId="8" fillId="0" borderId="3" applyAlignment="1" pivotButton="0" quotePrefix="0" xfId="1">
      <alignment horizontal="center" vertical="center" shrinkToFit="1"/>
    </xf>
    <xf numFmtId="167" fontId="8" fillId="0" borderId="18" applyAlignment="1" pivotButton="0" quotePrefix="0" xfId="1">
      <alignment horizontal="center" vertical="center" shrinkToFit="1"/>
    </xf>
    <xf numFmtId="167" fontId="8" fillId="3" borderId="2" applyAlignment="1" pivotButton="0" quotePrefix="0" xfId="1">
      <alignment horizontal="center"/>
    </xf>
    <xf numFmtId="167" fontId="8" fillId="0" borderId="2" applyAlignment="1" pivotButton="0" quotePrefix="0" xfId="1">
      <alignment horizontal="center"/>
    </xf>
    <xf numFmtId="167" fontId="8" fillId="3" borderId="1" applyAlignment="1" pivotButton="0" quotePrefix="0" xfId="1">
      <alignment horizontal="center" shrinkToFit="1"/>
    </xf>
    <xf numFmtId="167" fontId="8" fillId="0" borderId="1" applyAlignment="1" pivotButton="0" quotePrefix="0" xfId="1">
      <alignment horizontal="center" vertical="center"/>
    </xf>
    <xf numFmtId="167" fontId="8" fillId="3" borderId="1" applyAlignment="1" pivotButton="0" quotePrefix="0" xfId="1">
      <alignment horizontal="center" vertical="center"/>
    </xf>
    <xf numFmtId="167" fontId="8" fillId="0" borderId="19" applyAlignment="1" pivotButton="0" quotePrefix="0" xfId="1">
      <alignment horizontal="center" vertical="center"/>
    </xf>
    <xf numFmtId="167" fontId="8" fillId="0" borderId="66" applyAlignment="1" pivotButton="0" quotePrefix="0" xfId="1">
      <alignment horizontal="center"/>
    </xf>
    <xf numFmtId="167" fontId="8" fillId="0" borderId="3" applyAlignment="1" pivotButton="0" quotePrefix="0" xfId="1">
      <alignment horizontal="center"/>
    </xf>
    <xf numFmtId="167" fontId="8" fillId="3" borderId="3" applyAlignment="1" pivotButton="0" quotePrefix="0" xfId="1">
      <alignment horizontal="center"/>
    </xf>
    <xf numFmtId="176" fontId="8" fillId="0" borderId="12" applyAlignment="1" pivotButton="0" quotePrefix="0" xfId="1">
      <alignment horizontal="center"/>
    </xf>
    <xf numFmtId="169" fontId="8" fillId="0" borderId="12" applyAlignment="1" pivotButton="0" quotePrefix="0" xfId="1">
      <alignment horizontal="center"/>
    </xf>
    <xf numFmtId="167" fontId="8" fillId="0" borderId="12" applyAlignment="1" pivotButton="0" quotePrefix="0" xfId="1">
      <alignment horizontal="center" vertical="center" shrinkToFit="1"/>
    </xf>
    <xf numFmtId="167" fontId="8" fillId="3" borderId="15" applyAlignment="1" pivotButton="0" quotePrefix="0" xfId="1">
      <alignment horizontal="center"/>
    </xf>
    <xf numFmtId="167" fontId="8" fillId="3" borderId="12" applyAlignment="1" pivotButton="0" quotePrefix="0" xfId="1">
      <alignment horizontal="center" shrinkToFit="1"/>
    </xf>
    <xf numFmtId="167" fontId="8" fillId="0" borderId="32" applyAlignment="1" pivotButton="0" quotePrefix="0" xfId="1">
      <alignment horizontal="center" vertical="center" shrinkToFit="1"/>
    </xf>
    <xf numFmtId="167" fontId="8" fillId="0" borderId="13" applyAlignment="1" pivotButton="0" quotePrefix="0" xfId="1">
      <alignment horizontal="center" vertical="center" shrinkToFit="1"/>
    </xf>
    <xf numFmtId="167" fontId="8" fillId="0" borderId="9" applyAlignment="1" pivotButton="0" quotePrefix="0" xfId="1">
      <alignment horizontal="center" vertical="center" shrinkToFit="1"/>
    </xf>
    <xf numFmtId="167" fontId="8" fillId="0" borderId="25" applyAlignment="1" pivotButton="0" quotePrefix="0" xfId="1">
      <alignment horizontal="center" vertical="center" shrinkToFit="1"/>
    </xf>
    <xf numFmtId="167" fontId="8" fillId="3" borderId="8" applyAlignment="1" pivotButton="0" quotePrefix="0" xfId="1">
      <alignment horizontal="center"/>
    </xf>
    <xf numFmtId="167" fontId="8" fillId="0" borderId="8" applyAlignment="1" pivotButton="0" quotePrefix="0" xfId="1">
      <alignment horizontal="center"/>
    </xf>
    <xf numFmtId="169" fontId="8" fillId="0" borderId="114" applyAlignment="1" pivotButton="0" quotePrefix="0" xfId="1">
      <alignment horizontal="center"/>
    </xf>
    <xf numFmtId="169" fontId="8" fillId="0" borderId="3" applyAlignment="1" pivotButton="0" quotePrefix="0" xfId="1">
      <alignment horizontal="center"/>
    </xf>
    <xf numFmtId="167" fontId="8" fillId="0" borderId="116" applyAlignment="1" pivotButton="0" quotePrefix="0" xfId="1">
      <alignment horizontal="center" shrinkToFit="1"/>
    </xf>
    <xf numFmtId="167" fontId="8" fillId="0" borderId="20" applyAlignment="1" pivotButton="0" quotePrefix="0" xfId="1">
      <alignment horizontal="center"/>
    </xf>
    <xf numFmtId="177" fontId="13" fillId="0" borderId="1" applyAlignment="1" pivotButton="0" quotePrefix="0" xfId="1">
      <alignment horizontal="center" vertical="center"/>
    </xf>
    <xf numFmtId="177" fontId="11" fillId="0" borderId="1" applyAlignment="1" pivotButton="0" quotePrefix="0" xfId="1">
      <alignment horizontal="center" vertical="center"/>
    </xf>
    <xf numFmtId="167" fontId="13" fillId="3" borderId="13" applyAlignment="1" pivotButton="0" quotePrefix="0" xfId="1">
      <alignment horizontal="center" vertical="center"/>
    </xf>
    <xf numFmtId="167" fontId="11" fillId="3" borderId="13" applyAlignment="1" pivotButton="0" quotePrefix="0" xfId="1">
      <alignment horizontal="center" vertical="center"/>
    </xf>
    <xf numFmtId="167" fontId="13" fillId="3" borderId="43" applyAlignment="1" pivotButton="0" quotePrefix="0" xfId="1">
      <alignment horizontal="center" vertical="center"/>
    </xf>
    <xf numFmtId="167" fontId="11" fillId="3" borderId="43" applyAlignment="1" pivotButton="0" quotePrefix="0" xfId="1">
      <alignment horizontal="center" vertical="center"/>
    </xf>
    <xf numFmtId="167" fontId="11" fillId="3" borderId="9" applyAlignment="1" pivotButton="0" quotePrefix="0" xfId="1">
      <alignment horizontal="center" vertical="center"/>
    </xf>
    <xf numFmtId="167" fontId="13" fillId="3" borderId="9" applyAlignment="1" pivotButton="0" quotePrefix="0" xfId="1">
      <alignment horizontal="center" vertical="center"/>
    </xf>
    <xf numFmtId="167" fontId="11" fillId="0" borderId="140" applyAlignment="1" pivotButton="0" quotePrefix="0" xfId="1">
      <alignment horizontal="center" vertical="center"/>
    </xf>
    <xf numFmtId="167" fontId="19" fillId="3" borderId="13" applyAlignment="1" pivotButton="0" quotePrefix="0" xfId="1">
      <alignment horizontal="center" vertical="center"/>
    </xf>
    <xf numFmtId="167" fontId="19" fillId="3" borderId="43" applyAlignment="1" pivotButton="0" quotePrefix="0" xfId="1">
      <alignment horizontal="center" vertical="center"/>
    </xf>
    <xf numFmtId="177" fontId="11" fillId="2" borderId="1" applyAlignment="1" pivotButton="0" quotePrefix="0" xfId="1">
      <alignment horizontal="center" vertical="center"/>
    </xf>
    <xf numFmtId="177" fontId="13" fillId="2" borderId="1" applyAlignment="1" pivotButton="0" quotePrefix="0" xfId="1">
      <alignment horizontal="center" vertical="center"/>
    </xf>
    <xf numFmtId="171" fontId="11" fillId="3" borderId="13" applyAlignment="1" pivotButton="0" quotePrefix="0" xfId="1">
      <alignment horizontal="center" vertical="center"/>
    </xf>
    <xf numFmtId="171" fontId="13" fillId="3" borderId="13" applyAlignment="1" pivotButton="0" quotePrefix="0" xfId="1">
      <alignment horizontal="center" vertical="center"/>
    </xf>
    <xf numFmtId="171" fontId="11" fillId="0" borderId="140" applyAlignment="1" pivotButton="0" quotePrefix="0" xfId="1">
      <alignment horizontal="center" vertical="center"/>
    </xf>
    <xf numFmtId="167" fontId="11" fillId="3" borderId="95" applyAlignment="1" pivotButton="0" quotePrefix="0" xfId="1">
      <alignment horizontal="center" vertical="center"/>
    </xf>
    <xf numFmtId="167" fontId="13" fillId="3" borderId="95" applyAlignment="1" pivotButton="0" quotePrefix="0" xfId="1">
      <alignment horizontal="center" vertical="center"/>
    </xf>
    <xf numFmtId="177" fontId="11" fillId="3" borderId="1" applyAlignment="1" pivotButton="0" quotePrefix="0" xfId="1">
      <alignment horizontal="center" vertical="center"/>
    </xf>
    <xf numFmtId="177" fontId="13" fillId="3" borderId="1" applyAlignment="1" pivotButton="0" quotePrefix="0" xfId="1">
      <alignment horizontal="center" vertical="center"/>
    </xf>
    <xf numFmtId="0" fontId="0" fillId="0" borderId="75" pivotButton="0" quotePrefix="0" xfId="0"/>
    <xf numFmtId="0" fontId="0" fillId="0" borderId="98" pivotButton="0" quotePrefix="0" xfId="0"/>
    <xf numFmtId="0" fontId="0" fillId="0" borderId="67" pivotButton="0" quotePrefix="0" xfId="0"/>
    <xf numFmtId="167" fontId="8" fillId="3" borderId="61" applyAlignment="1" pivotButton="0" quotePrefix="0" xfId="1">
      <alignment horizontal="center"/>
    </xf>
    <xf numFmtId="167" fontId="10" fillId="3" borderId="61" applyAlignment="1" pivotButton="0" quotePrefix="0" xfId="1">
      <alignment horizontal="center"/>
    </xf>
    <xf numFmtId="167" fontId="11" fillId="3" borderId="61" applyAlignment="1" pivotButton="0" quotePrefix="0" xfId="1">
      <alignment horizontal="center" vertical="center"/>
    </xf>
    <xf numFmtId="167" fontId="13" fillId="3" borderId="61" applyAlignment="1" pivotButton="0" quotePrefix="0" xfId="1">
      <alignment horizontal="center" vertical="center"/>
    </xf>
    <xf numFmtId="167" fontId="8" fillId="3" borderId="5" applyAlignment="1" pivotButton="0" quotePrefix="0" xfId="1">
      <alignment horizontal="center"/>
    </xf>
    <xf numFmtId="167" fontId="10" fillId="3" borderId="5" applyAlignment="1" pivotButton="0" quotePrefix="0" xfId="1">
      <alignment horizontal="center"/>
    </xf>
    <xf numFmtId="167" fontId="8" fillId="3" borderId="109" applyAlignment="1" pivotButton="0" quotePrefix="0" xfId="1">
      <alignment horizontal="center"/>
    </xf>
    <xf numFmtId="178" fontId="8" fillId="3" borderId="61" applyAlignment="1" pivotButton="0" quotePrefix="0" xfId="1">
      <alignment horizontal="center" shrinkToFit="1"/>
    </xf>
    <xf numFmtId="178" fontId="10" fillId="3" borderId="61" applyAlignment="1" pivotButton="0" quotePrefix="0" xfId="1">
      <alignment horizontal="center" shrinkToFit="1"/>
    </xf>
    <xf numFmtId="171" fontId="19" fillId="3" borderId="13" applyAlignment="1" pivotButton="0" quotePrefix="0" xfId="1">
      <alignment horizontal="center" vertical="center"/>
    </xf>
    <xf numFmtId="167" fontId="19" fillId="3" borderId="95" applyAlignment="1" pivotButton="0" quotePrefix="0" xfId="1">
      <alignment horizontal="center" vertical="center"/>
    </xf>
    <xf numFmtId="178" fontId="21" fillId="3" borderId="61" applyAlignment="1" pivotButton="0" quotePrefix="0" xfId="1">
      <alignment horizontal="center" shrinkToFit="1"/>
    </xf>
    <xf numFmtId="167" fontId="21" fillId="3" borderId="61" applyAlignment="1" pivotButton="0" quotePrefix="0" xfId="1">
      <alignment horizontal="center"/>
    </xf>
    <xf numFmtId="167" fontId="11" fillId="3" borderId="71" applyAlignment="1" pivotButton="0" quotePrefix="0" xfId="1">
      <alignment horizontal="center" vertical="center"/>
    </xf>
    <xf numFmtId="167" fontId="19" fillId="3" borderId="61" applyAlignment="1" pivotButton="0" quotePrefix="0" xfId="1">
      <alignment horizontal="center" vertical="center"/>
    </xf>
    <xf numFmtId="178" fontId="10" fillId="3" borderId="11" applyAlignment="1" pivotButton="0" quotePrefix="0" xfId="1">
      <alignment horizontal="center" shrinkToFit="1"/>
    </xf>
    <xf numFmtId="178" fontId="8" fillId="3" borderId="11" applyAlignment="1" pivotButton="0" quotePrefix="0" xfId="1">
      <alignment horizontal="center" shrinkToFit="1"/>
    </xf>
    <xf numFmtId="177" fontId="19" fillId="3" borderId="1" applyAlignment="1" pivotButton="0" quotePrefix="0" xfId="1">
      <alignment horizontal="center" vertical="center"/>
    </xf>
    <xf numFmtId="0" fontId="7" fillId="0" borderId="140" applyAlignment="1" pivotButton="0" quotePrefix="0" xfId="3">
      <alignment horizontal="center" vertical="center"/>
    </xf>
    <xf numFmtId="0" fontId="22" fillId="0" borderId="140" applyAlignment="1" pivotButton="0" quotePrefix="0" xfId="3">
      <alignment horizontal="center" vertical="center"/>
    </xf>
    <xf numFmtId="180" fontId="5" fillId="0" borderId="140" applyAlignment="1" pivotButton="0" quotePrefix="0" xfId="0">
      <alignment horizontal="distributed" vertical="center"/>
    </xf>
    <xf numFmtId="180" fontId="5" fillId="0" borderId="140" applyAlignment="1" pivotButton="0" quotePrefix="0" xfId="0">
      <alignment horizontal="center" vertical="center"/>
    </xf>
    <xf numFmtId="167" fontId="8" fillId="3" borderId="1" applyAlignment="1" pivotButton="0" quotePrefix="0" xfId="3">
      <alignment horizontal="center" vertical="center"/>
    </xf>
    <xf numFmtId="171" fontId="17" fillId="0" borderId="140" applyAlignment="1" pivotButton="0" quotePrefix="0" xfId="3">
      <alignment vertical="center"/>
    </xf>
  </cellXfs>
  <cellStyles count="4">
    <cellStyle name="標準" xfId="0" builtinId="0"/>
    <cellStyle name="標準 2" xfId="1"/>
    <cellStyle name="桁区切り 2" xfId="2"/>
    <cellStyle name="標準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テンプレ</author>
  </authors>
  <commentList>
    <comment ref="F9" authorId="0" shapeId="0">
      <text>
        <t>GAS書き込み: 水温・No.1終沈（アプリの日常水質タブ・終沈水温入力欄）</t>
      </text>
    </comment>
    <comment ref="G9" authorId="0" shapeId="0">
      <text>
        <t>GAS書き込み: 水温・No.2終沈（アプリの日常水質タブ・終沈水温入力欄）</t>
      </text>
    </comment>
    <comment ref="P9" authorId="0" shapeId="0">
      <text>
        <t>GAS書き込み: 透視度・No.1終沈（アプリの日常水質タブ・終沈透視度入力欄）</t>
      </text>
    </comment>
    <comment ref="Q9" authorId="0" shapeId="0">
      <text>
        <t>GAS書き込み: 透視度・No.2終沈（アプリの日常水質タブ・終沈透視度入力欄）</t>
      </text>
    </comment>
    <comment ref="N50" authorId="0" shapeId="0">
      <text>
        <t>GAS書き込み: PH・No.1終沈（アプリの日常水質タブ・終沈PH入力欄）</t>
      </text>
    </comment>
    <comment ref="O50" authorId="0" shapeId="0">
      <text>
        <t>GAS書き込み: PH・No.2終沈（アプリの日常水質タブ・終沈PH入力欄）</t>
      </text>
    </comment>
  </commentList>
</comments>
</file>

<file path=xl/comments/comment2.xml><?xml version="1.0" encoding="utf-8"?>
<comments xmlns="http://schemas.openxmlformats.org/spreadsheetml/2006/main">
  <authors>
    <author>テンプレ</author>
  </authors>
  <commentList>
    <comment ref="G56" authorId="0" shapeId="0">
      <text>
        <t>GAS書き込み: No.1余剰汚泥ポンプ流量計読み（アプリの日常水質タブ上段・余剰汚泥流量入力欄）</t>
      </text>
    </comment>
    <comment ref="G57" authorId="0" shapeId="0">
      <text>
        <t>GAS書き込み: No.2余剰汚泥ポンプ流量計読み（アプリの日常水質タブ上段・余剰汚泥流量入力欄）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AH260"/>
  <sheetViews>
    <sheetView tabSelected="1" view="pageBreakPreview" zoomScale="120" zoomScaleNormal="100" zoomScaleSheetLayoutView="120" workbookViewId="0">
      <selection activeCell="O220" sqref="O220:R220"/>
    </sheetView>
  </sheetViews>
  <sheetFormatPr baseColWidth="8" defaultColWidth="2.6640625" defaultRowHeight="15" customHeight="1"/>
  <cols>
    <col width="2.6640625" customWidth="1" style="571" min="1" max="8"/>
    <col width="10.6640625" customWidth="1" style="571" min="9" max="14"/>
    <col width="2.6640625" customWidth="1" style="571" min="15" max="18"/>
    <col width="5.5" bestFit="1" customWidth="1" style="571" min="19" max="19"/>
    <col width="2.6640625" customWidth="1" style="571" min="20" max="20"/>
    <col hidden="1" width="13" customWidth="1" style="571" min="21" max="21"/>
    <col width="11.5" bestFit="1" customWidth="1" style="571" min="22" max="22"/>
    <col width="2.6640625" customWidth="1" style="571" min="23" max="24"/>
    <col width="8.1640625" bestFit="1" customWidth="1" style="571" min="25" max="25"/>
    <col width="2.6640625" customWidth="1" style="571" min="26" max="26"/>
    <col width="9.1640625" bestFit="1" customWidth="1" style="571" min="27" max="27"/>
    <col width="2.6640625" customWidth="1" style="571" min="28" max="28"/>
    <col width="3.5" bestFit="1" customWidth="1" style="571" min="29" max="29"/>
    <col width="2.6640625" customWidth="1" style="571" min="30" max="33"/>
    <col width="3.5" bestFit="1" customWidth="1" style="571" min="34" max="34"/>
    <col width="2.6640625" customWidth="1" style="571" min="35" max="35"/>
    <col width="2.6640625" customWidth="1" style="571" min="36" max="16384"/>
  </cols>
  <sheetData>
    <row r="1" ht="15" customHeight="1">
      <c r="A1" s="570" t="inlineStr">
        <is>
          <t>筒賀水質管理センター　　　維持管理週報</t>
        </is>
      </c>
      <c r="M1" s="647" t="inlineStr">
        <is>
          <t>令和8年3月</t>
        </is>
      </c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</row>
    <row r="2" ht="15" customHeight="1" thickBot="1">
      <c r="A2" s="572" t="n"/>
      <c r="B2" s="572" t="n"/>
      <c r="C2" s="572" t="n"/>
      <c r="D2" s="572" t="n"/>
      <c r="E2" s="572" t="n"/>
      <c r="F2" s="572" t="n"/>
      <c r="G2" s="572" t="n"/>
      <c r="H2" s="572" t="n"/>
      <c r="I2" s="572" t="n"/>
      <c r="J2" s="572" t="n"/>
      <c r="K2" s="572" t="n"/>
      <c r="L2" s="572" t="n"/>
      <c r="M2" s="572" t="n"/>
      <c r="N2" s="572" t="n"/>
      <c r="O2" s="572" t="n"/>
      <c r="P2" s="572" t="n"/>
      <c r="Q2" s="572" t="n"/>
      <c r="R2" s="572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</row>
    <row r="3" ht="15" customHeight="1">
      <c r="A3" s="599" t="n"/>
      <c r="B3" s="596" t="n"/>
      <c r="C3" s="596" t="n"/>
      <c r="D3" s="596" t="n"/>
      <c r="E3" s="596" t="n"/>
      <c r="F3" s="596" t="n"/>
      <c r="G3" s="596" t="n"/>
      <c r="H3" s="600" t="n"/>
      <c r="I3" s="794" t="n">
        <v>46083</v>
      </c>
      <c r="J3" s="795">
        <f>I3+1</f>
        <v/>
      </c>
      <c r="K3" s="795">
        <f>J3+1</f>
        <v/>
      </c>
      <c r="L3" s="795">
        <f>K3+1</f>
        <v/>
      </c>
      <c r="M3" s="795">
        <f>L3+1</f>
        <v/>
      </c>
      <c r="N3" s="795">
        <f>M3+3</f>
        <v/>
      </c>
      <c r="O3" s="595" t="inlineStr">
        <is>
          <t>平均</t>
        </is>
      </c>
      <c r="P3" s="596" t="n"/>
      <c r="Q3" s="596" t="n"/>
      <c r="R3" s="597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</row>
    <row r="4" ht="15" customHeight="1">
      <c r="A4" s="618" t="inlineStr">
        <is>
          <t>全日電力量</t>
        </is>
      </c>
      <c r="B4" s="574" t="n"/>
      <c r="C4" s="574" t="n"/>
      <c r="D4" s="574" t="n"/>
      <c r="E4" s="574" t="n"/>
      <c r="F4" s="580" t="n"/>
      <c r="G4" s="588" t="inlineStr">
        <is>
          <t>Kｗｈ</t>
        </is>
      </c>
      <c r="H4" s="580" t="n"/>
      <c r="I4" s="796" t="n"/>
      <c r="J4" s="797" t="n"/>
      <c r="K4" s="797" t="n"/>
      <c r="L4" s="797" t="n"/>
      <c r="M4" s="797" t="n"/>
      <c r="N4" s="797" t="n"/>
      <c r="O4" s="798" t="n"/>
      <c r="P4" s="574" t="n"/>
      <c r="Q4" s="574" t="n"/>
      <c r="R4" s="575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</row>
    <row r="5" ht="15" customHeight="1">
      <c r="A5" s="618" t="inlineStr">
        <is>
          <t>力測電力量</t>
        </is>
      </c>
      <c r="B5" s="574" t="n"/>
      <c r="C5" s="574" t="n"/>
      <c r="D5" s="574" t="n"/>
      <c r="E5" s="574" t="n"/>
      <c r="F5" s="580" t="n"/>
      <c r="G5" s="588" t="inlineStr">
        <is>
          <t>Kｗｈ</t>
        </is>
      </c>
      <c r="H5" s="580" t="n"/>
      <c r="I5" s="796" t="n"/>
      <c r="J5" s="797" t="n"/>
      <c r="K5" s="797" t="n"/>
      <c r="L5" s="797" t="n"/>
      <c r="M5" s="797" t="n"/>
      <c r="N5" s="797" t="n"/>
      <c r="O5" s="798" t="n"/>
      <c r="P5" s="574" t="n"/>
      <c r="Q5" s="574" t="n"/>
      <c r="R5" s="575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</row>
    <row r="6" ht="15" customHeight="1">
      <c r="A6" s="618" t="inlineStr">
        <is>
          <t>無効電力量</t>
        </is>
      </c>
      <c r="B6" s="574" t="n"/>
      <c r="C6" s="574" t="n"/>
      <c r="D6" s="574" t="n"/>
      <c r="E6" s="574" t="n"/>
      <c r="F6" s="580" t="n"/>
      <c r="G6" s="588" t="inlineStr">
        <is>
          <t>Kvar</t>
        </is>
      </c>
      <c r="H6" s="580" t="n"/>
      <c r="I6" s="796" t="n"/>
      <c r="J6" s="796" t="n"/>
      <c r="K6" s="796" t="n"/>
      <c r="L6" s="796" t="n"/>
      <c r="M6" s="796" t="n"/>
      <c r="N6" s="796" t="n"/>
      <c r="O6" s="798" t="n"/>
      <c r="P6" s="574" t="n"/>
      <c r="Q6" s="574" t="n"/>
      <c r="R6" s="575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 ht="15" customHeight="1">
      <c r="A7" s="618" t="inlineStr">
        <is>
          <t>デマンド</t>
        </is>
      </c>
      <c r="B7" s="574" t="n"/>
      <c r="C7" s="574" t="n"/>
      <c r="D7" s="574" t="n"/>
      <c r="E7" s="574" t="n"/>
      <c r="F7" s="580" t="n"/>
      <c r="G7" s="588" t="inlineStr">
        <is>
          <t>Kw</t>
        </is>
      </c>
      <c r="H7" s="580" t="n"/>
      <c r="I7" s="796" t="n"/>
      <c r="J7" s="797" t="n"/>
      <c r="K7" s="797" t="n"/>
      <c r="L7" s="797" t="n"/>
      <c r="M7" s="797" t="n"/>
      <c r="N7" s="797" t="n"/>
      <c r="O7" s="798" t="n"/>
      <c r="P7" s="574" t="n"/>
      <c r="Q7" s="574" t="n"/>
      <c r="R7" s="575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</row>
    <row r="8" ht="15" customHeight="1">
      <c r="A8" s="618" t="inlineStr">
        <is>
          <t>水道使用量</t>
        </is>
      </c>
      <c r="B8" s="574" t="n"/>
      <c r="C8" s="574" t="n"/>
      <c r="D8" s="574" t="n"/>
      <c r="E8" s="574" t="n"/>
      <c r="F8" s="580" t="n"/>
      <c r="G8" s="588" t="inlineStr">
        <is>
          <t>㎥</t>
        </is>
      </c>
      <c r="H8" s="580" t="n"/>
      <c r="I8" s="796" t="n"/>
      <c r="J8" s="797" t="n"/>
      <c r="K8" s="797" t="n"/>
      <c r="L8" s="797" t="n"/>
      <c r="M8" s="797" t="n"/>
      <c r="N8" s="797" t="n"/>
      <c r="O8" s="798" t="n"/>
      <c r="P8" s="574" t="n"/>
      <c r="Q8" s="574" t="n"/>
      <c r="R8" s="575" t="n"/>
      <c r="S8" s="9" t="n"/>
      <c r="T8" s="79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 ht="15" customHeight="1">
      <c r="A9" s="618" t="inlineStr">
        <is>
          <t>軽油（残量）</t>
        </is>
      </c>
      <c r="B9" s="574" t="n"/>
      <c r="C9" s="574" t="n"/>
      <c r="D9" s="574" t="n"/>
      <c r="E9" s="574" t="n"/>
      <c r="F9" s="580" t="n"/>
      <c r="G9" s="588" t="inlineStr">
        <is>
          <t>ℓ</t>
        </is>
      </c>
      <c r="H9" s="580" t="n"/>
      <c r="I9" s="16" t="n"/>
      <c r="J9" s="17" t="n"/>
      <c r="K9" s="17" t="n"/>
      <c r="L9" s="17" t="n"/>
      <c r="M9" s="17" t="n"/>
      <c r="N9" s="17" t="n"/>
      <c r="O9" s="800" t="n"/>
      <c r="P9" s="574" t="n"/>
      <c r="Q9" s="574" t="n"/>
      <c r="R9" s="575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 ht="15" customHeight="1">
      <c r="A10" s="616" t="inlineStr">
        <is>
          <t>返送汚泥流量（№1）</t>
        </is>
      </c>
      <c r="B10" s="574" t="n"/>
      <c r="C10" s="574" t="n"/>
      <c r="D10" s="574" t="n"/>
      <c r="E10" s="574" t="n"/>
      <c r="F10" s="580" t="n"/>
      <c r="G10" s="588" t="inlineStr">
        <is>
          <t>㎥</t>
        </is>
      </c>
      <c r="H10" s="580" t="n"/>
      <c r="I10" s="801" t="n"/>
      <c r="J10" s="802" t="n"/>
      <c r="K10" s="802" t="n"/>
      <c r="L10" s="802" t="n"/>
      <c r="M10" s="802" t="n"/>
      <c r="N10" s="802" t="n"/>
      <c r="O10" s="573" t="n"/>
      <c r="P10" s="574" t="n"/>
      <c r="Q10" s="574" t="n"/>
      <c r="R10" s="575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 ht="15" customHeight="1">
      <c r="A11" s="616" t="inlineStr">
        <is>
          <t>返送汚泥流量（№2）</t>
        </is>
      </c>
      <c r="B11" s="574" t="n"/>
      <c r="C11" s="574" t="n"/>
      <c r="D11" s="574" t="n"/>
      <c r="E11" s="574" t="n"/>
      <c r="F11" s="580" t="n"/>
      <c r="G11" s="588" t="inlineStr">
        <is>
          <t>㎥</t>
        </is>
      </c>
      <c r="H11" s="580" t="n"/>
      <c r="I11" s="801" t="n"/>
      <c r="J11" s="802" t="n"/>
      <c r="K11" s="802" t="n"/>
      <c r="L11" s="802" t="n"/>
      <c r="M11" s="802" t="n"/>
      <c r="N11" s="802" t="n"/>
      <c r="O11" s="573" t="n"/>
      <c r="P11" s="574" t="n"/>
      <c r="Q11" s="574" t="n"/>
      <c r="R11" s="575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</row>
    <row r="12" ht="15" customHeight="1" thickBot="1">
      <c r="A12" s="603" t="inlineStr">
        <is>
          <t>放流流量</t>
        </is>
      </c>
      <c r="B12" s="604" t="n"/>
      <c r="C12" s="604" t="n"/>
      <c r="D12" s="604" t="n"/>
      <c r="E12" s="604" t="n"/>
      <c r="F12" s="605" t="n"/>
      <c r="G12" s="634" t="inlineStr">
        <is>
          <t>㎥</t>
        </is>
      </c>
      <c r="H12" s="605" t="n"/>
      <c r="I12" s="803" t="n"/>
      <c r="J12" s="804" t="n"/>
      <c r="K12" s="802" t="n"/>
      <c r="L12" s="804" t="n"/>
      <c r="M12" s="804" t="n"/>
      <c r="N12" s="804" t="n"/>
      <c r="O12" s="573" t="n"/>
      <c r="P12" s="574" t="n"/>
      <c r="Q12" s="574" t="n"/>
      <c r="R12" s="575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</row>
    <row r="13" ht="45" customHeight="1" thickBot="1">
      <c r="A13" s="658" t="inlineStr">
        <is>
          <t>日 常 水 質 測 定 結 果</t>
        </is>
      </c>
      <c r="B13" s="650" t="n"/>
      <c r="C13" s="650" t="n"/>
      <c r="D13" s="650" t="n"/>
      <c r="E13" s="650" t="n"/>
      <c r="F13" s="650" t="n"/>
      <c r="G13" s="650" t="n"/>
      <c r="H13" s="650" t="n"/>
      <c r="I13" s="650" t="n"/>
      <c r="J13" s="650" t="n"/>
      <c r="K13" s="650" t="n"/>
      <c r="L13" s="650" t="n"/>
      <c r="M13" s="650" t="n"/>
      <c r="N13" s="650" t="n"/>
      <c r="O13" s="650" t="n"/>
      <c r="P13" s="650" t="n"/>
      <c r="Q13" s="650" t="n"/>
      <c r="R13" s="65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</row>
    <row r="14" ht="15" customHeight="1">
      <c r="A14" s="620" t="inlineStr">
        <is>
          <t>測 定 項 目</t>
        </is>
      </c>
      <c r="B14" s="621" t="n"/>
      <c r="C14" s="621" t="n"/>
      <c r="D14" s="621" t="n"/>
      <c r="E14" s="621" t="n"/>
      <c r="F14" s="621" t="n"/>
      <c r="G14" s="621" t="n"/>
      <c r="H14" s="622" t="n"/>
      <c r="I14" s="22" t="inlineStr">
        <is>
          <t>測定場所</t>
        </is>
      </c>
      <c r="J14" s="805">
        <f>I3</f>
        <v/>
      </c>
      <c r="K14" s="806">
        <f>J3</f>
        <v/>
      </c>
      <c r="L14" s="806">
        <f>K3</f>
        <v/>
      </c>
      <c r="M14" s="806">
        <f>L3</f>
        <v/>
      </c>
      <c r="N14" s="806">
        <f>M3</f>
        <v/>
      </c>
      <c r="O14" s="662">
        <f>O3</f>
        <v/>
      </c>
      <c r="P14" s="621" t="n"/>
      <c r="Q14" s="621" t="n"/>
      <c r="R14" s="663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</row>
    <row r="15" ht="15" customHeight="1">
      <c r="A15" s="593" t="n"/>
      <c r="B15" s="598" t="n"/>
      <c r="C15" s="598" t="n"/>
      <c r="D15" s="598" t="n"/>
      <c r="E15" s="598" t="n"/>
      <c r="F15" s="598" t="n"/>
      <c r="G15" s="598" t="n"/>
      <c r="H15" s="591" t="n"/>
      <c r="I15" s="615" t="inlineStr">
        <is>
          <t>測定者</t>
        </is>
      </c>
      <c r="J15" s="26" t="inlineStr">
        <is>
          <t>山根　悠貴</t>
        </is>
      </c>
      <c r="K15" s="27" t="inlineStr">
        <is>
          <t>山根　悠貴</t>
        </is>
      </c>
      <c r="L15" s="27" t="inlineStr">
        <is>
          <t>山根　悠貴</t>
        </is>
      </c>
      <c r="M15" s="27" t="inlineStr">
        <is>
          <t>山根　悠貴</t>
        </is>
      </c>
      <c r="N15" s="27" t="inlineStr">
        <is>
          <t>山根　悠貴</t>
        </is>
      </c>
      <c r="O15" s="590" t="n"/>
      <c r="P15" s="598" t="n"/>
      <c r="Q15" s="598" t="n"/>
      <c r="R15" s="624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</row>
    <row r="16" ht="15" customHeight="1">
      <c r="A16" s="579" t="inlineStr">
        <is>
          <t xml:space="preserve">水温　　　　　</t>
        </is>
      </c>
      <c r="B16" s="586" t="n"/>
      <c r="C16" s="586" t="n"/>
      <c r="D16" s="586" t="n"/>
      <c r="E16" s="586" t="n"/>
      <c r="F16" s="587" t="n"/>
      <c r="G16" s="589" t="inlineStr">
        <is>
          <t>℃</t>
        </is>
      </c>
      <c r="H16" s="587" t="n"/>
      <c r="I16" s="29" t="inlineStr">
        <is>
          <t>流入</t>
        </is>
      </c>
      <c r="J16" s="807" t="n"/>
      <c r="K16" s="808" t="n"/>
      <c r="L16" s="808" t="n"/>
      <c r="M16" s="808" t="n"/>
      <c r="N16" s="808" t="n"/>
      <c r="O16" s="809" t="n"/>
      <c r="P16" s="583" t="n"/>
      <c r="Q16" s="583" t="n"/>
      <c r="R16" s="584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</row>
    <row r="17" ht="15" customHeight="1">
      <c r="A17" s="601" t="n"/>
      <c r="F17" s="602" t="n"/>
      <c r="G17" s="613" t="n"/>
      <c r="H17" s="602" t="n"/>
      <c r="I17" s="32" t="inlineStr">
        <is>
          <t>ディッチ、１</t>
        </is>
      </c>
      <c r="J17" s="810" t="n"/>
      <c r="K17" s="811" t="n"/>
      <c r="L17" s="811" t="n"/>
      <c r="M17" s="811" t="n"/>
      <c r="N17" s="811" t="n"/>
      <c r="O17" s="812" t="n"/>
      <c r="P17" s="577" t="n"/>
      <c r="Q17" s="577" t="n"/>
      <c r="R17" s="578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</row>
    <row r="18" ht="15" customHeight="1">
      <c r="A18" s="601" t="n"/>
      <c r="F18" s="602" t="n"/>
      <c r="G18" s="613" t="n"/>
      <c r="H18" s="602" t="n"/>
      <c r="I18" s="32" t="inlineStr">
        <is>
          <t>ディッチ、２</t>
        </is>
      </c>
      <c r="J18" s="810" t="n"/>
      <c r="K18" s="811" t="n"/>
      <c r="L18" s="811" t="n"/>
      <c r="M18" s="811" t="n"/>
      <c r="N18" s="811" t="n"/>
      <c r="O18" s="812" t="n"/>
      <c r="P18" s="577" t="n"/>
      <c r="Q18" s="577" t="n"/>
      <c r="R18" s="578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</row>
    <row r="19" ht="15" customHeight="1">
      <c r="A19" s="593" t="n"/>
      <c r="B19" s="598" t="n"/>
      <c r="C19" s="598" t="n"/>
      <c r="D19" s="598" t="n"/>
      <c r="E19" s="598" t="n"/>
      <c r="F19" s="591" t="n"/>
      <c r="G19" s="590" t="n"/>
      <c r="H19" s="591" t="n"/>
      <c r="I19" s="35" t="inlineStr">
        <is>
          <t>放流</t>
        </is>
      </c>
      <c r="J19" s="813" t="n"/>
      <c r="K19" s="814" t="n"/>
      <c r="L19" s="814" t="n"/>
      <c r="M19" s="814" t="n"/>
      <c r="N19" s="814" t="n"/>
      <c r="O19" s="815" t="n"/>
      <c r="P19" s="608" t="n"/>
      <c r="Q19" s="608" t="n"/>
      <c r="R19" s="60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</row>
    <row r="20" ht="15" customHeight="1">
      <c r="A20" s="579" t="inlineStr">
        <is>
          <t>外観</t>
        </is>
      </c>
      <c r="B20" s="587" t="n"/>
      <c r="C20" s="628" t="inlineStr">
        <is>
          <t>油膜・色合</t>
        </is>
      </c>
      <c r="D20" s="586" t="n"/>
      <c r="E20" s="586" t="n"/>
      <c r="F20" s="587" t="n"/>
      <c r="G20" s="589" t="inlineStr">
        <is>
          <t>有無</t>
        </is>
      </c>
      <c r="H20" s="587" t="n"/>
      <c r="I20" s="29" t="inlineStr">
        <is>
          <t>流入</t>
        </is>
      </c>
      <c r="J20" s="38" t="n"/>
      <c r="K20" s="39" t="n"/>
      <c r="L20" s="39" t="n"/>
      <c r="M20" s="39" t="n"/>
      <c r="N20" s="39" t="n"/>
      <c r="O20" s="582" t="n"/>
      <c r="P20" s="583" t="n"/>
      <c r="Q20" s="583" t="n"/>
      <c r="R20" s="584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40" t="n"/>
    </row>
    <row r="21" ht="15" customHeight="1">
      <c r="A21" s="601" t="n"/>
      <c r="B21" s="602" t="n"/>
      <c r="C21" s="613" t="n"/>
      <c r="F21" s="602" t="n"/>
      <c r="G21" s="613" t="n"/>
      <c r="H21" s="602" t="n"/>
      <c r="I21" s="32" t="inlineStr">
        <is>
          <t>ディッチ、１</t>
        </is>
      </c>
      <c r="J21" s="41" t="n"/>
      <c r="K21" s="42" t="n"/>
      <c r="L21" s="42" t="n"/>
      <c r="M21" s="42" t="n"/>
      <c r="N21" s="42" t="n"/>
      <c r="O21" s="644" t="n"/>
      <c r="P21" s="577" t="n"/>
      <c r="Q21" s="577" t="n"/>
      <c r="R21" s="578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</row>
    <row r="22" ht="15" customHeight="1">
      <c r="A22" s="601" t="n"/>
      <c r="B22" s="602" t="n"/>
      <c r="C22" s="613" t="n"/>
      <c r="F22" s="602" t="n"/>
      <c r="G22" s="613" t="n"/>
      <c r="H22" s="602" t="n"/>
      <c r="I22" s="32" t="inlineStr">
        <is>
          <t>ディッチ、２</t>
        </is>
      </c>
      <c r="J22" s="41" t="n"/>
      <c r="K22" s="42" t="n"/>
      <c r="L22" s="42" t="n"/>
      <c r="M22" s="42" t="n"/>
      <c r="N22" s="42" t="n"/>
      <c r="O22" s="644" t="n"/>
      <c r="P22" s="577" t="n"/>
      <c r="Q22" s="577" t="n"/>
      <c r="R22" s="578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</row>
    <row r="23" ht="15" customHeight="1">
      <c r="A23" s="593" t="n"/>
      <c r="B23" s="591" t="n"/>
      <c r="C23" s="590" t="n"/>
      <c r="D23" s="598" t="n"/>
      <c r="E23" s="598" t="n"/>
      <c r="F23" s="591" t="n"/>
      <c r="G23" s="590" t="n"/>
      <c r="H23" s="591" t="n"/>
      <c r="I23" s="35" t="inlineStr">
        <is>
          <t>放流</t>
        </is>
      </c>
      <c r="J23" s="43" t="n"/>
      <c r="K23" s="44" t="n"/>
      <c r="L23" s="44" t="n"/>
      <c r="M23" s="44" t="n"/>
      <c r="N23" s="44" t="n"/>
      <c r="O23" s="619" t="n"/>
      <c r="P23" s="608" t="n"/>
      <c r="Q23" s="608" t="n"/>
      <c r="R23" s="60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</row>
    <row r="24" ht="15" customHeight="1">
      <c r="A24" s="579" t="inlineStr">
        <is>
          <t>透視度</t>
        </is>
      </c>
      <c r="B24" s="586" t="n"/>
      <c r="C24" s="586" t="n"/>
      <c r="D24" s="586" t="n"/>
      <c r="E24" s="586" t="n"/>
      <c r="F24" s="587" t="n"/>
      <c r="G24" s="589" t="inlineStr">
        <is>
          <t>ｃｍ</t>
        </is>
      </c>
      <c r="H24" s="587" t="n"/>
      <c r="I24" s="29" t="inlineStr">
        <is>
          <t>流入水</t>
        </is>
      </c>
      <c r="J24" s="807" t="n"/>
      <c r="K24" s="808" t="n"/>
      <c r="L24" s="808" t="n"/>
      <c r="M24" s="808" t="n"/>
      <c r="N24" s="808" t="n"/>
      <c r="O24" s="809" t="n"/>
      <c r="P24" s="583" t="n"/>
      <c r="Q24" s="583" t="n"/>
      <c r="R24" s="584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</row>
    <row r="25" ht="15" customHeight="1">
      <c r="A25" s="593" t="n"/>
      <c r="B25" s="598" t="n"/>
      <c r="C25" s="598" t="n"/>
      <c r="D25" s="598" t="n"/>
      <c r="E25" s="598" t="n"/>
      <c r="F25" s="591" t="n"/>
      <c r="G25" s="590" t="n"/>
      <c r="H25" s="591" t="n"/>
      <c r="I25" s="35" t="inlineStr">
        <is>
          <t>放流水</t>
        </is>
      </c>
      <c r="J25" s="45" t="n"/>
      <c r="K25" s="46" t="n"/>
      <c r="L25" s="46" t="n"/>
      <c r="M25" s="46" t="n"/>
      <c r="N25" s="46" t="n"/>
      <c r="O25" s="639" t="n"/>
      <c r="P25" s="608" t="n"/>
      <c r="Q25" s="608" t="n"/>
      <c r="R25" s="60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</row>
    <row r="26" ht="15" customHeight="1">
      <c r="A26" s="579" t="inlineStr">
        <is>
          <t>臭気</t>
        </is>
      </c>
      <c r="B26" s="587" t="n"/>
      <c r="C26" s="632" t="inlineStr">
        <is>
          <t>腐敗臭</t>
        </is>
      </c>
      <c r="D26" s="586" t="n"/>
      <c r="E26" s="586" t="n"/>
      <c r="F26" s="587" t="n"/>
      <c r="G26" s="589" t="inlineStr">
        <is>
          <t>有無</t>
        </is>
      </c>
      <c r="H26" s="587" t="n"/>
      <c r="I26" s="29" t="inlineStr">
        <is>
          <t>流入</t>
        </is>
      </c>
      <c r="J26" s="47" t="n"/>
      <c r="K26" s="48" t="n"/>
      <c r="L26" s="48" t="n"/>
      <c r="M26" s="48" t="n"/>
      <c r="N26" s="48" t="n"/>
      <c r="O26" s="582" t="n"/>
      <c r="P26" s="583" t="n"/>
      <c r="Q26" s="583" t="n"/>
      <c r="R26" s="584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</row>
    <row r="27" ht="15" customHeight="1">
      <c r="A27" s="601" t="n"/>
      <c r="B27" s="602" t="n"/>
      <c r="C27" s="613" t="n"/>
      <c r="F27" s="602" t="n"/>
      <c r="G27" s="613" t="n"/>
      <c r="H27" s="602" t="n"/>
      <c r="I27" s="32" t="inlineStr">
        <is>
          <t>ディッチ、１</t>
        </is>
      </c>
      <c r="J27" s="49" t="n"/>
      <c r="K27" s="50" t="n"/>
      <c r="L27" s="50" t="n"/>
      <c r="M27" s="50" t="n"/>
      <c r="N27" s="50" t="n"/>
      <c r="O27" s="644" t="n"/>
      <c r="P27" s="577" t="n"/>
      <c r="Q27" s="577" t="n"/>
      <c r="R27" s="578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</row>
    <row r="28" ht="15" customHeight="1">
      <c r="A28" s="601" t="n"/>
      <c r="B28" s="602" t="n"/>
      <c r="C28" s="613" t="n"/>
      <c r="F28" s="602" t="n"/>
      <c r="G28" s="613" t="n"/>
      <c r="H28" s="602" t="n"/>
      <c r="I28" s="32" t="inlineStr">
        <is>
          <t>ディッチ、２</t>
        </is>
      </c>
      <c r="J28" s="49" t="n"/>
      <c r="K28" s="50" t="n"/>
      <c r="L28" s="50" t="n"/>
      <c r="M28" s="50" t="n"/>
      <c r="N28" s="50" t="n"/>
      <c r="O28" s="644" t="n"/>
      <c r="P28" s="577" t="n"/>
      <c r="Q28" s="577" t="n"/>
      <c r="R28" s="578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</row>
    <row r="29" ht="15" customHeight="1">
      <c r="A29" s="593" t="n"/>
      <c r="B29" s="591" t="n"/>
      <c r="C29" s="590" t="n"/>
      <c r="D29" s="598" t="n"/>
      <c r="E29" s="598" t="n"/>
      <c r="F29" s="591" t="n"/>
      <c r="G29" s="590" t="n"/>
      <c r="H29" s="591" t="n"/>
      <c r="I29" s="35" t="inlineStr">
        <is>
          <t>放流</t>
        </is>
      </c>
      <c r="J29" s="45" t="n"/>
      <c r="K29" s="46" t="n"/>
      <c r="L29" s="46" t="n"/>
      <c r="M29" s="46" t="n"/>
      <c r="N29" s="46" t="n"/>
      <c r="O29" s="619" t="n"/>
      <c r="P29" s="608" t="n"/>
      <c r="Q29" s="608" t="n"/>
      <c r="R29" s="60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</row>
    <row r="30" ht="15" customHeight="1">
      <c r="A30" s="579" t="inlineStr">
        <is>
          <t>PH</t>
        </is>
      </c>
      <c r="B30" s="587" t="n"/>
      <c r="C30" s="630" t="n"/>
      <c r="D30" s="586" t="n"/>
      <c r="E30" s="586" t="n"/>
      <c r="F30" s="587" t="n"/>
      <c r="G30" s="589" t="inlineStr">
        <is>
          <t>―</t>
        </is>
      </c>
      <c r="H30" s="587" t="n"/>
      <c r="I30" s="29" t="inlineStr">
        <is>
          <t>流入</t>
        </is>
      </c>
      <c r="J30" s="52" t="n"/>
      <c r="K30" s="53" t="n"/>
      <c r="L30" s="53" t="n"/>
      <c r="M30" s="53" t="n"/>
      <c r="N30" s="53" t="n"/>
      <c r="O30" s="655" t="n"/>
      <c r="P30" s="583" t="n"/>
      <c r="Q30" s="583" t="n"/>
      <c r="R30" s="584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</row>
    <row r="31" ht="15" customHeight="1">
      <c r="A31" s="601" t="n"/>
      <c r="B31" s="602" t="n"/>
      <c r="C31" s="613" t="n"/>
      <c r="F31" s="602" t="n"/>
      <c r="G31" s="613" t="n"/>
      <c r="H31" s="602" t="n"/>
      <c r="I31" s="32" t="inlineStr">
        <is>
          <t>ディッチ、１</t>
        </is>
      </c>
      <c r="J31" s="54" t="n"/>
      <c r="K31" s="55" t="n"/>
      <c r="L31" s="55" t="n"/>
      <c r="M31" s="55" t="n"/>
      <c r="N31" s="55" t="n"/>
      <c r="O31" s="576" t="n"/>
      <c r="P31" s="577" t="n"/>
      <c r="Q31" s="577" t="n"/>
      <c r="R31" s="578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</row>
    <row r="32" ht="15" customHeight="1">
      <c r="A32" s="601" t="n"/>
      <c r="B32" s="602" t="n"/>
      <c r="C32" s="613" t="n"/>
      <c r="F32" s="602" t="n"/>
      <c r="G32" s="613" t="n"/>
      <c r="H32" s="602" t="n"/>
      <c r="I32" s="32" t="inlineStr">
        <is>
          <t>ディッチ、２</t>
        </is>
      </c>
      <c r="J32" s="54" t="n"/>
      <c r="K32" s="55" t="n"/>
      <c r="L32" s="55" t="n"/>
      <c r="M32" s="55" t="n"/>
      <c r="N32" s="55" t="n"/>
      <c r="O32" s="576" t="n"/>
      <c r="P32" s="577" t="n"/>
      <c r="Q32" s="577" t="n"/>
      <c r="R32" s="578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</row>
    <row r="33" ht="15" customHeight="1">
      <c r="A33" s="593" t="n"/>
      <c r="B33" s="591" t="n"/>
      <c r="C33" s="590" t="n"/>
      <c r="D33" s="598" t="n"/>
      <c r="E33" s="598" t="n"/>
      <c r="F33" s="591" t="n"/>
      <c r="G33" s="590" t="n"/>
      <c r="H33" s="591" t="n"/>
      <c r="I33" s="35" t="inlineStr">
        <is>
          <t>放流</t>
        </is>
      </c>
      <c r="J33" s="56" t="n"/>
      <c r="K33" s="57" t="n"/>
      <c r="L33" s="57" t="n"/>
      <c r="M33" s="57" t="n"/>
      <c r="N33" s="57" t="n"/>
      <c r="O33" s="625" t="n"/>
      <c r="P33" s="608" t="n"/>
      <c r="Q33" s="608" t="n"/>
      <c r="R33" s="60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</row>
    <row r="34" ht="15" customHeight="1">
      <c r="A34" s="633" t="inlineStr">
        <is>
          <t>SV</t>
        </is>
      </c>
      <c r="B34" s="587" t="n"/>
      <c r="C34" s="588" t="inlineStr">
        <is>
          <t>SV・30</t>
        </is>
      </c>
      <c r="D34" s="574" t="n"/>
      <c r="E34" s="574" t="n"/>
      <c r="F34" s="580" t="n"/>
      <c r="G34" s="589" t="inlineStr">
        <is>
          <t>％</t>
        </is>
      </c>
      <c r="H34" s="587" t="n"/>
      <c r="I34" s="589" t="inlineStr">
        <is>
          <t>１系</t>
        </is>
      </c>
      <c r="J34" s="47" t="n"/>
      <c r="K34" s="48" t="n"/>
      <c r="L34" s="48" t="n"/>
      <c r="M34" s="48" t="n"/>
      <c r="N34" s="48" t="n"/>
      <c r="O34" s="809" t="n"/>
      <c r="P34" s="583" t="n"/>
      <c r="Q34" s="583" t="n"/>
      <c r="R34" s="584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</row>
    <row r="35" ht="15" customHeight="1">
      <c r="A35" s="593" t="n"/>
      <c r="B35" s="591" t="n"/>
      <c r="C35" s="588" t="inlineStr">
        <is>
          <t>SV・２４ｈ</t>
        </is>
      </c>
      <c r="D35" s="574" t="n"/>
      <c r="E35" s="574" t="n"/>
      <c r="F35" s="580" t="n"/>
      <c r="G35" s="590" t="n"/>
      <c r="H35" s="591" t="n"/>
      <c r="I35" s="626" t="n"/>
      <c r="J35" s="45" t="n"/>
      <c r="K35" s="46" t="n"/>
      <c r="L35" s="46" t="n"/>
      <c r="M35" s="46" t="n"/>
      <c r="N35" s="46" t="n"/>
      <c r="O35" s="815" t="n"/>
      <c r="P35" s="608" t="n"/>
      <c r="Q35" s="608" t="n"/>
      <c r="R35" s="60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</row>
    <row r="36" ht="15" customHeight="1">
      <c r="A36" s="633" t="inlineStr">
        <is>
          <t>SV</t>
        </is>
      </c>
      <c r="B36" s="587" t="n"/>
      <c r="C36" s="588" t="inlineStr">
        <is>
          <t>SV・30</t>
        </is>
      </c>
      <c r="D36" s="574" t="n"/>
      <c r="E36" s="574" t="n"/>
      <c r="F36" s="580" t="n"/>
      <c r="G36" s="589" t="inlineStr">
        <is>
          <t>％</t>
        </is>
      </c>
      <c r="H36" s="587" t="n"/>
      <c r="I36" s="589" t="inlineStr">
        <is>
          <t>２系</t>
        </is>
      </c>
      <c r="J36" s="47" t="n"/>
      <c r="K36" s="48" t="n"/>
      <c r="L36" s="48" t="n"/>
      <c r="M36" s="48" t="n"/>
      <c r="N36" s="48" t="n"/>
      <c r="O36" s="809" t="n"/>
      <c r="P36" s="583" t="n"/>
      <c r="Q36" s="583" t="n"/>
      <c r="R36" s="584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</row>
    <row r="37" ht="15" customHeight="1">
      <c r="A37" s="593" t="n"/>
      <c r="B37" s="591" t="n"/>
      <c r="C37" s="588" t="inlineStr">
        <is>
          <t>SV・２４ｈ</t>
        </is>
      </c>
      <c r="D37" s="574" t="n"/>
      <c r="E37" s="574" t="n"/>
      <c r="F37" s="580" t="n"/>
      <c r="G37" s="590" t="n"/>
      <c r="H37" s="591" t="n"/>
      <c r="I37" s="626" t="n"/>
      <c r="J37" s="45" t="n"/>
      <c r="K37" s="46" t="n"/>
      <c r="L37" s="46" t="n"/>
      <c r="M37" s="46" t="n"/>
      <c r="N37" s="46" t="n"/>
      <c r="O37" s="815" t="n"/>
      <c r="P37" s="608" t="n"/>
      <c r="Q37" s="608" t="n"/>
      <c r="R37" s="60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</row>
    <row r="38" ht="15" customHeight="1">
      <c r="A38" s="592" t="inlineStr">
        <is>
          <t>反応槽</t>
        </is>
      </c>
      <c r="B38" s="587" t="n"/>
      <c r="C38" s="589" t="inlineStr">
        <is>
          <t>MLSS</t>
        </is>
      </c>
      <c r="D38" s="586" t="n"/>
      <c r="E38" s="586" t="n"/>
      <c r="F38" s="587" t="n"/>
      <c r="G38" s="589" t="inlineStr">
        <is>
          <t>㎎/ℓ</t>
        </is>
      </c>
      <c r="H38" s="587" t="n"/>
      <c r="I38" s="58" t="inlineStr">
        <is>
          <t>1系</t>
        </is>
      </c>
      <c r="J38" s="59" t="n"/>
      <c r="K38" s="60" t="n"/>
      <c r="L38" s="60" t="n"/>
      <c r="M38" s="60" t="n"/>
      <c r="N38" s="60" t="n"/>
      <c r="O38" s="816" t="n"/>
      <c r="P38" s="574" t="n"/>
      <c r="Q38" s="574" t="n"/>
      <c r="R38" s="575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</row>
    <row r="39" ht="15" customHeight="1">
      <c r="A39" s="593" t="n"/>
      <c r="B39" s="591" t="n"/>
      <c r="C39" s="590" t="n"/>
      <c r="D39" s="598" t="n"/>
      <c r="E39" s="598" t="n"/>
      <c r="F39" s="591" t="n"/>
      <c r="G39" s="590" t="n"/>
      <c r="H39" s="591" t="n"/>
      <c r="I39" s="61" t="inlineStr">
        <is>
          <t>2系</t>
        </is>
      </c>
      <c r="J39" s="62" t="n"/>
      <c r="K39" s="63" t="n"/>
      <c r="L39" s="63" t="n"/>
      <c r="M39" s="63" t="n"/>
      <c r="N39" s="63" t="n"/>
      <c r="O39" s="816" t="n"/>
      <c r="P39" s="574" t="n"/>
      <c r="Q39" s="574" t="n"/>
      <c r="R39" s="575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</row>
    <row r="40" ht="15" customHeight="1">
      <c r="A40" s="579" t="inlineStr">
        <is>
          <t>汚泥界面</t>
        </is>
      </c>
      <c r="B40" s="586" t="n"/>
      <c r="C40" s="586" t="n"/>
      <c r="D40" s="586" t="n"/>
      <c r="E40" s="586" t="n"/>
      <c r="F40" s="587" t="n"/>
      <c r="G40" s="589" t="inlineStr">
        <is>
          <t>ｃｍ</t>
        </is>
      </c>
      <c r="H40" s="587" t="n"/>
      <c r="I40" s="58" t="inlineStr">
        <is>
          <t>１系終沈</t>
        </is>
      </c>
      <c r="J40" s="64" t="n"/>
      <c r="K40" s="65" t="n"/>
      <c r="L40" s="65" t="n"/>
      <c r="M40" s="65" t="n"/>
      <c r="N40" s="65" t="n"/>
      <c r="O40" s="809" t="n"/>
      <c r="P40" s="583" t="n"/>
      <c r="Q40" s="583" t="n"/>
      <c r="R40" s="584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</row>
    <row r="41" ht="15" customHeight="1">
      <c r="A41" s="593" t="n"/>
      <c r="B41" s="598" t="n"/>
      <c r="C41" s="598" t="n"/>
      <c r="D41" s="598" t="n"/>
      <c r="E41" s="598" t="n"/>
      <c r="F41" s="591" t="n"/>
      <c r="G41" s="590" t="n"/>
      <c r="H41" s="591" t="n"/>
      <c r="I41" s="61" t="inlineStr">
        <is>
          <t>２系終沈</t>
        </is>
      </c>
      <c r="J41" s="66" t="n"/>
      <c r="K41" s="67" t="n"/>
      <c r="L41" s="67" t="n"/>
      <c r="M41" s="67" t="n"/>
      <c r="N41" s="67" t="n"/>
      <c r="O41" s="815" t="n"/>
      <c r="P41" s="608" t="n"/>
      <c r="Q41" s="608" t="n"/>
      <c r="R41" s="60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</row>
    <row r="42" ht="15" customHeight="1">
      <c r="A42" s="579" t="inlineStr">
        <is>
          <t>残留塩素</t>
        </is>
      </c>
      <c r="B42" s="574" t="n"/>
      <c r="C42" s="574" t="n"/>
      <c r="D42" s="574" t="n"/>
      <c r="E42" s="574" t="n"/>
      <c r="F42" s="580" t="n"/>
      <c r="G42" s="589" t="inlineStr">
        <is>
          <t>㎎/ℓ</t>
        </is>
      </c>
      <c r="H42" s="580" t="n"/>
      <c r="I42" s="68" t="inlineStr">
        <is>
          <t>放流水</t>
        </is>
      </c>
      <c r="J42" s="69" t="n"/>
      <c r="K42" s="70" t="n"/>
      <c r="L42" s="70" t="n"/>
      <c r="M42" s="70" t="n"/>
      <c r="N42" s="70" t="n"/>
      <c r="O42" s="816" t="n"/>
      <c r="P42" s="574" t="n"/>
      <c r="Q42" s="574" t="n"/>
      <c r="R42" s="575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</row>
    <row r="43" ht="15" customHeight="1">
      <c r="A43" s="618" t="inlineStr">
        <is>
          <t>塩素投入量</t>
        </is>
      </c>
      <c r="B43" s="574" t="n"/>
      <c r="C43" s="574" t="n"/>
      <c r="D43" s="574" t="n"/>
      <c r="E43" s="574" t="n"/>
      <c r="F43" s="580" t="n"/>
      <c r="G43" s="588" t="inlineStr">
        <is>
          <t>kg</t>
        </is>
      </c>
      <c r="H43" s="580" t="n"/>
      <c r="I43" s="68" t="inlineStr">
        <is>
          <t>塩素混和池</t>
        </is>
      </c>
      <c r="J43" s="69" t="n"/>
      <c r="K43" s="70" t="n"/>
      <c r="L43" s="70" t="n"/>
      <c r="M43" s="70" t="n"/>
      <c r="N43" s="70" t="n"/>
      <c r="O43" s="612" t="n"/>
      <c r="P43" s="574" t="n"/>
      <c r="Q43" s="574" t="n"/>
      <c r="R43" s="575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</row>
    <row r="44" ht="15" customHeight="1">
      <c r="A44" s="661" t="inlineStr">
        <is>
          <t xml:space="preserve">　備　　考</t>
        </is>
      </c>
      <c r="B44" s="583" t="n"/>
      <c r="C44" s="583" t="n"/>
      <c r="D44" s="583" t="n"/>
      <c r="E44" s="583" t="n"/>
      <c r="F44" s="583" t="n"/>
      <c r="G44" s="583" t="n"/>
      <c r="H44" s="583" t="n"/>
      <c r="I44" s="583" t="n"/>
      <c r="J44" s="583" t="n"/>
      <c r="K44" s="583" t="n"/>
      <c r="L44" s="583" t="n"/>
      <c r="M44" s="583" t="n"/>
      <c r="N44" s="583" t="n"/>
      <c r="O44" s="583" t="n"/>
      <c r="P44" s="583" t="n"/>
      <c r="Q44" s="583" t="n"/>
      <c r="R44" s="584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</row>
    <row r="45" ht="15" customHeight="1">
      <c r="A45" s="665" t="n"/>
      <c r="B45" s="666" t="n"/>
      <c r="C45" s="666" t="n"/>
      <c r="D45" s="666" t="n"/>
      <c r="E45" s="666" t="n"/>
      <c r="F45" s="666" t="n"/>
      <c r="G45" s="666" t="n"/>
      <c r="H45" s="666" t="n"/>
      <c r="I45" s="666" t="n"/>
      <c r="J45" s="666" t="n"/>
      <c r="K45" s="666" t="n"/>
      <c r="L45" s="666" t="n"/>
      <c r="M45" s="666" t="n"/>
      <c r="N45" s="666" t="n"/>
      <c r="O45" s="666" t="n"/>
      <c r="P45" s="666" t="n"/>
      <c r="Q45" s="666" t="n"/>
      <c r="R45" s="66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</row>
    <row r="46" ht="15" customHeight="1">
      <c r="A46" s="601" t="n"/>
      <c r="R46" s="668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</row>
    <row r="47" ht="15" customHeight="1">
      <c r="A47" s="601" t="n"/>
      <c r="R47" s="668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</row>
    <row r="48" ht="15" customHeight="1">
      <c r="A48" s="601" t="n"/>
      <c r="R48" s="668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</row>
    <row r="49" ht="15" customHeight="1">
      <c r="A49" s="601" t="n"/>
      <c r="R49" s="668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</row>
    <row r="50" ht="15" customHeight="1">
      <c r="A50" s="601" t="n"/>
      <c r="R50" s="668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</row>
    <row r="51" ht="15" customHeight="1">
      <c r="A51" s="601" t="n"/>
      <c r="R51" s="668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</row>
    <row r="52" ht="15" customHeight="1" thickBot="1">
      <c r="A52" s="669" t="n"/>
      <c r="B52" s="572" t="n"/>
      <c r="C52" s="572" t="n"/>
      <c r="D52" s="572" t="n"/>
      <c r="E52" s="572" t="n"/>
      <c r="F52" s="572" t="n"/>
      <c r="G52" s="572" t="n"/>
      <c r="H52" s="572" t="n"/>
      <c r="I52" s="572" t="n"/>
      <c r="J52" s="572" t="n"/>
      <c r="K52" s="572" t="n"/>
      <c r="L52" s="572" t="n"/>
      <c r="M52" s="572" t="n"/>
      <c r="N52" s="572" t="n"/>
      <c r="O52" s="572" t="n"/>
      <c r="P52" s="572" t="n"/>
      <c r="Q52" s="572" t="n"/>
      <c r="R52" s="670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</row>
    <row r="53" ht="15" customHeight="1">
      <c r="A53" s="570" t="inlineStr">
        <is>
          <t>筒賀水質管理センター　　　維持管理週報</t>
        </is>
      </c>
      <c r="M53" s="647">
        <f>M1</f>
        <v/>
      </c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9" t="n"/>
      <c r="AG53" s="9" t="n"/>
      <c r="AH53" s="9" t="n"/>
    </row>
    <row r="54" ht="15" customHeight="1" thickBot="1">
      <c r="A54" s="572" t="n"/>
      <c r="B54" s="572" t="n"/>
      <c r="C54" s="572" t="n"/>
      <c r="D54" s="572" t="n"/>
      <c r="E54" s="572" t="n"/>
      <c r="F54" s="572" t="n"/>
      <c r="G54" s="572" t="n"/>
      <c r="H54" s="572" t="n"/>
      <c r="I54" s="572" t="n"/>
      <c r="J54" s="572" t="n"/>
      <c r="K54" s="572" t="n"/>
      <c r="L54" s="572" t="n"/>
      <c r="M54" s="572" t="n"/>
      <c r="N54" s="572" t="n"/>
      <c r="O54" s="572" t="n"/>
      <c r="P54" s="572" t="n"/>
      <c r="Q54" s="572" t="n"/>
      <c r="R54" s="572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9" t="n"/>
      <c r="AG54" s="9" t="n"/>
      <c r="AH54" s="9" t="n"/>
    </row>
    <row r="55" ht="15" customHeight="1">
      <c r="A55" s="599" t="n"/>
      <c r="B55" s="596" t="n"/>
      <c r="C55" s="596" t="n"/>
      <c r="D55" s="596" t="n"/>
      <c r="E55" s="596" t="n"/>
      <c r="F55" s="596" t="n"/>
      <c r="G55" s="596" t="n"/>
      <c r="H55" s="600" t="n"/>
      <c r="I55" s="795">
        <f>N3</f>
        <v/>
      </c>
      <c r="J55" s="795">
        <f>I55+1</f>
        <v/>
      </c>
      <c r="K55" s="794">
        <f>J55+1</f>
        <v/>
      </c>
      <c r="L55" s="795">
        <f>K55+1</f>
        <v/>
      </c>
      <c r="M55" s="795">
        <f>L55+1</f>
        <v/>
      </c>
      <c r="N55" s="795">
        <f>M55+3</f>
        <v/>
      </c>
      <c r="O55" s="595" t="inlineStr">
        <is>
          <t>平均</t>
        </is>
      </c>
      <c r="P55" s="596" t="n"/>
      <c r="Q55" s="596" t="n"/>
      <c r="R55" s="597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9" t="n"/>
      <c r="AG55" s="9" t="n"/>
      <c r="AH55" s="9" t="n"/>
    </row>
    <row r="56" ht="15" customHeight="1">
      <c r="A56" s="618" t="inlineStr">
        <is>
          <t>全日電力量</t>
        </is>
      </c>
      <c r="B56" s="574" t="n"/>
      <c r="C56" s="574" t="n"/>
      <c r="D56" s="574" t="n"/>
      <c r="E56" s="574" t="n"/>
      <c r="F56" s="580" t="n"/>
      <c r="G56" s="588" t="inlineStr">
        <is>
          <t>Kｗｈ</t>
        </is>
      </c>
      <c r="H56" s="580" t="n"/>
      <c r="I56" s="797" t="n"/>
      <c r="J56" s="797" t="n"/>
      <c r="K56" s="796" t="n"/>
      <c r="L56" s="797" t="n"/>
      <c r="M56" s="797" t="n"/>
      <c r="N56" s="797" t="n"/>
      <c r="O56" s="798" t="n"/>
      <c r="P56" s="574" t="n"/>
      <c r="Q56" s="574" t="n"/>
      <c r="R56" s="575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9" t="n"/>
      <c r="AG56" s="9" t="n"/>
      <c r="AH56" s="9" t="n"/>
    </row>
    <row r="57" ht="15" customHeight="1">
      <c r="A57" s="618" t="inlineStr">
        <is>
          <t>力測電力量</t>
        </is>
      </c>
      <c r="B57" s="574" t="n"/>
      <c r="C57" s="574" t="n"/>
      <c r="D57" s="574" t="n"/>
      <c r="E57" s="574" t="n"/>
      <c r="F57" s="580" t="n"/>
      <c r="G57" s="588" t="inlineStr">
        <is>
          <t>Kｗｈ</t>
        </is>
      </c>
      <c r="H57" s="580" t="n"/>
      <c r="I57" s="797" t="n"/>
      <c r="J57" s="797" t="n"/>
      <c r="K57" s="796" t="n"/>
      <c r="L57" s="797" t="n"/>
      <c r="M57" s="797" t="n"/>
      <c r="N57" s="797" t="n"/>
      <c r="O57" s="798" t="n"/>
      <c r="P57" s="574" t="n"/>
      <c r="Q57" s="574" t="n"/>
      <c r="R57" s="575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9" t="n"/>
      <c r="AG57" s="9" t="n"/>
      <c r="AH57" s="9" t="n"/>
    </row>
    <row r="58" ht="15" customHeight="1">
      <c r="A58" s="618" t="inlineStr">
        <is>
          <t>無効電力量</t>
        </is>
      </c>
      <c r="B58" s="574" t="n"/>
      <c r="C58" s="574" t="n"/>
      <c r="D58" s="574" t="n"/>
      <c r="E58" s="574" t="n"/>
      <c r="F58" s="580" t="n"/>
      <c r="G58" s="588" t="inlineStr">
        <is>
          <t>Kvar</t>
        </is>
      </c>
      <c r="H58" s="580" t="n"/>
      <c r="I58" s="797" t="n"/>
      <c r="J58" s="797" t="n"/>
      <c r="K58" s="796" t="n"/>
      <c r="L58" s="797" t="n"/>
      <c r="M58" s="797" t="n"/>
      <c r="N58" s="797" t="n"/>
      <c r="O58" s="798" t="n"/>
      <c r="P58" s="574" t="n"/>
      <c r="Q58" s="574" t="n"/>
      <c r="R58" s="575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9" t="n"/>
      <c r="AG58" s="9" t="n"/>
      <c r="AH58" s="9" t="n"/>
    </row>
    <row r="59" ht="15" customHeight="1">
      <c r="A59" s="618" t="inlineStr">
        <is>
          <t>デマンド</t>
        </is>
      </c>
      <c r="B59" s="574" t="n"/>
      <c r="C59" s="574" t="n"/>
      <c r="D59" s="574" t="n"/>
      <c r="E59" s="574" t="n"/>
      <c r="F59" s="580" t="n"/>
      <c r="G59" s="588" t="inlineStr">
        <is>
          <t>Kw</t>
        </is>
      </c>
      <c r="H59" s="580" t="n"/>
      <c r="I59" s="797" t="n"/>
      <c r="J59" s="797" t="n"/>
      <c r="K59" s="796" t="n"/>
      <c r="L59" s="797" t="n"/>
      <c r="M59" s="797" t="n"/>
      <c r="N59" s="797" t="n"/>
      <c r="O59" s="798" t="n"/>
      <c r="P59" s="574" t="n"/>
      <c r="Q59" s="574" t="n"/>
      <c r="R59" s="575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9" t="n"/>
      <c r="AG59" s="9" t="n"/>
      <c r="AH59" s="9" t="n"/>
    </row>
    <row r="60" ht="15" customHeight="1">
      <c r="A60" s="618" t="inlineStr">
        <is>
          <t>水道使用量</t>
        </is>
      </c>
      <c r="B60" s="574" t="n"/>
      <c r="C60" s="574" t="n"/>
      <c r="D60" s="574" t="n"/>
      <c r="E60" s="574" t="n"/>
      <c r="F60" s="580" t="n"/>
      <c r="G60" s="588" t="inlineStr">
        <is>
          <t>㎥</t>
        </is>
      </c>
      <c r="H60" s="580" t="n"/>
      <c r="I60" s="797" t="n"/>
      <c r="J60" s="797" t="n"/>
      <c r="K60" s="796" t="n"/>
      <c r="L60" s="797" t="n"/>
      <c r="M60" s="797" t="n"/>
      <c r="N60" s="797" t="n"/>
      <c r="O60" s="798" t="n"/>
      <c r="P60" s="574" t="n"/>
      <c r="Q60" s="574" t="n"/>
      <c r="R60" s="575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9" t="n"/>
      <c r="AG60" s="9" t="n"/>
      <c r="AH60" s="9" t="n"/>
    </row>
    <row r="61" ht="15" customHeight="1">
      <c r="A61" s="618" t="inlineStr">
        <is>
          <t>軽油（残量）</t>
        </is>
      </c>
      <c r="B61" s="574" t="n"/>
      <c r="C61" s="574" t="n"/>
      <c r="D61" s="574" t="n"/>
      <c r="E61" s="574" t="n"/>
      <c r="F61" s="580" t="n"/>
      <c r="G61" s="588" t="inlineStr">
        <is>
          <t>ℓ</t>
        </is>
      </c>
      <c r="H61" s="580" t="n"/>
      <c r="I61" s="17" t="n"/>
      <c r="J61" s="17" t="n"/>
      <c r="K61" s="16" t="n"/>
      <c r="L61" s="17" t="n"/>
      <c r="M61" s="17" t="n"/>
      <c r="N61" s="17" t="n"/>
      <c r="O61" s="800" t="n"/>
      <c r="P61" s="574" t="n"/>
      <c r="Q61" s="574" t="n"/>
      <c r="R61" s="575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9" t="n"/>
      <c r="AG61" s="9" t="n"/>
      <c r="AH61" s="9" t="n"/>
    </row>
    <row r="62" ht="15" customHeight="1">
      <c r="A62" s="616" t="inlineStr">
        <is>
          <t>返送汚泥流量（№1）</t>
        </is>
      </c>
      <c r="B62" s="574" t="n"/>
      <c r="C62" s="574" t="n"/>
      <c r="D62" s="574" t="n"/>
      <c r="E62" s="574" t="n"/>
      <c r="F62" s="580" t="n"/>
      <c r="G62" s="588" t="inlineStr">
        <is>
          <t>㎥</t>
        </is>
      </c>
      <c r="H62" s="580" t="n"/>
      <c r="I62" s="802" t="n"/>
      <c r="J62" s="802" t="n"/>
      <c r="K62" s="801" t="n"/>
      <c r="L62" s="802" t="n"/>
      <c r="M62" s="802" t="n"/>
      <c r="N62" s="802" t="n"/>
      <c r="O62" s="573" t="n"/>
      <c r="P62" s="574" t="n"/>
      <c r="Q62" s="574" t="n"/>
      <c r="R62" s="575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9" t="n"/>
      <c r="AG62" s="9" t="n"/>
      <c r="AH62" s="9" t="n"/>
    </row>
    <row r="63" ht="15" customHeight="1">
      <c r="A63" s="616" t="inlineStr">
        <is>
          <t>返送汚泥流量（№2）</t>
        </is>
      </c>
      <c r="B63" s="574" t="n"/>
      <c r="C63" s="574" t="n"/>
      <c r="D63" s="574" t="n"/>
      <c r="E63" s="574" t="n"/>
      <c r="F63" s="580" t="n"/>
      <c r="G63" s="588" t="inlineStr">
        <is>
          <t>㎥</t>
        </is>
      </c>
      <c r="H63" s="580" t="n"/>
      <c r="I63" s="802" t="n"/>
      <c r="J63" s="802" t="n"/>
      <c r="K63" s="801" t="n"/>
      <c r="L63" s="802" t="n"/>
      <c r="M63" s="802" t="n"/>
      <c r="N63" s="802" t="n"/>
      <c r="O63" s="573" t="n"/>
      <c r="P63" s="574" t="n"/>
      <c r="Q63" s="574" t="n"/>
      <c r="R63" s="575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9" t="n"/>
      <c r="AG63" s="9" t="n"/>
      <c r="AH63" s="9" t="n"/>
    </row>
    <row r="64" ht="15" customHeight="1" thickBot="1">
      <c r="A64" s="603" t="inlineStr">
        <is>
          <t>放流流量</t>
        </is>
      </c>
      <c r="B64" s="604" t="n"/>
      <c r="C64" s="604" t="n"/>
      <c r="D64" s="604" t="n"/>
      <c r="E64" s="604" t="n"/>
      <c r="F64" s="605" t="n"/>
      <c r="G64" s="634" t="inlineStr">
        <is>
          <t>㎥</t>
        </is>
      </c>
      <c r="H64" s="605" t="n"/>
      <c r="I64" s="802" t="n"/>
      <c r="J64" s="802" t="n"/>
      <c r="K64" s="803" t="n"/>
      <c r="L64" s="804" t="n"/>
      <c r="M64" s="804" t="n"/>
      <c r="N64" s="804" t="n"/>
      <c r="O64" s="573" t="n"/>
      <c r="P64" s="574" t="n"/>
      <c r="Q64" s="574" t="n"/>
      <c r="R64" s="575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9" t="n"/>
      <c r="AG64" s="9" t="n"/>
      <c r="AH64" s="9" t="n"/>
    </row>
    <row r="65" ht="45" customHeight="1" thickBot="1">
      <c r="A65" s="658" t="inlineStr">
        <is>
          <t>日 常 水 質 測 定 結 果</t>
        </is>
      </c>
      <c r="B65" s="650" t="n"/>
      <c r="C65" s="650" t="n"/>
      <c r="D65" s="650" t="n"/>
      <c r="E65" s="650" t="n"/>
      <c r="F65" s="650" t="n"/>
      <c r="G65" s="650" t="n"/>
      <c r="H65" s="650" t="n"/>
      <c r="I65" s="650" t="n"/>
      <c r="J65" s="650" t="n"/>
      <c r="K65" s="650" t="n"/>
      <c r="L65" s="650" t="n"/>
      <c r="M65" s="650" t="n"/>
      <c r="N65" s="650" t="n"/>
      <c r="O65" s="650" t="n"/>
      <c r="P65" s="650" t="n"/>
      <c r="Q65" s="650" t="n"/>
      <c r="R65" s="659" t="n"/>
      <c r="S65" s="71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9" t="n"/>
      <c r="AG65" s="9" t="n"/>
      <c r="AH65" s="9" t="n"/>
    </row>
    <row r="66" ht="15" customHeight="1">
      <c r="A66" s="620" t="inlineStr">
        <is>
          <t>測 定 項 目</t>
        </is>
      </c>
      <c r="B66" s="621" t="n"/>
      <c r="C66" s="621" t="n"/>
      <c r="D66" s="621" t="n"/>
      <c r="E66" s="621" t="n"/>
      <c r="F66" s="621" t="n"/>
      <c r="G66" s="621" t="n"/>
      <c r="H66" s="622" t="n"/>
      <c r="I66" s="22" t="inlineStr">
        <is>
          <t>測定場所</t>
        </is>
      </c>
      <c r="J66" s="806">
        <f>I55</f>
        <v/>
      </c>
      <c r="K66" s="806">
        <f>J55</f>
        <v/>
      </c>
      <c r="L66" s="805">
        <f>K55</f>
        <v/>
      </c>
      <c r="M66" s="806">
        <f>L55</f>
        <v/>
      </c>
      <c r="N66" s="806">
        <f>M55</f>
        <v/>
      </c>
      <c r="O66" s="662">
        <f>O55</f>
        <v/>
      </c>
      <c r="P66" s="621" t="n"/>
      <c r="Q66" s="621" t="n"/>
      <c r="R66" s="663" t="n"/>
      <c r="S66" s="72" t="n"/>
      <c r="T66" s="73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40" t="n"/>
      <c r="AD66" s="40" t="n"/>
      <c r="AE66" s="40" t="n"/>
      <c r="AF66" s="9" t="n"/>
      <c r="AG66" s="9" t="n"/>
      <c r="AH66" s="9" t="n"/>
    </row>
    <row r="67" ht="15" customHeight="1">
      <c r="A67" s="593" t="n"/>
      <c r="B67" s="598" t="n"/>
      <c r="C67" s="598" t="n"/>
      <c r="D67" s="598" t="n"/>
      <c r="E67" s="598" t="n"/>
      <c r="F67" s="598" t="n"/>
      <c r="G67" s="598" t="n"/>
      <c r="H67" s="591" t="n"/>
      <c r="I67" s="615" t="inlineStr">
        <is>
          <t>測定者</t>
        </is>
      </c>
      <c r="J67" s="27" t="inlineStr">
        <is>
          <t>山根　悠貴</t>
        </is>
      </c>
      <c r="K67" s="27" t="inlineStr">
        <is>
          <t>山根　悠貴</t>
        </is>
      </c>
      <c r="L67" s="26" t="inlineStr">
        <is>
          <t>山根　悠貴</t>
        </is>
      </c>
      <c r="M67" s="27" t="inlineStr">
        <is>
          <t>山根　悠貴</t>
        </is>
      </c>
      <c r="N67" s="27" t="inlineStr">
        <is>
          <t>山根　悠貴</t>
        </is>
      </c>
      <c r="O67" s="590" t="n"/>
      <c r="P67" s="598" t="n"/>
      <c r="Q67" s="598" t="n"/>
      <c r="R67" s="624" t="n"/>
      <c r="S67" s="72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40" t="n"/>
      <c r="AD67" s="40" t="n"/>
      <c r="AE67" s="40" t="n"/>
      <c r="AF67" s="9" t="n"/>
      <c r="AG67" s="9" t="n"/>
      <c r="AH67" s="9" t="n"/>
    </row>
    <row r="68" ht="15" customHeight="1">
      <c r="A68" s="579" t="inlineStr">
        <is>
          <t xml:space="preserve">水温　　　　　</t>
        </is>
      </c>
      <c r="B68" s="586" t="n"/>
      <c r="C68" s="586" t="n"/>
      <c r="D68" s="586" t="n"/>
      <c r="E68" s="586" t="n"/>
      <c r="F68" s="587" t="n"/>
      <c r="G68" s="589" t="inlineStr">
        <is>
          <t>℃</t>
        </is>
      </c>
      <c r="H68" s="587" t="n"/>
      <c r="I68" s="29" t="inlineStr">
        <is>
          <t>流入</t>
        </is>
      </c>
      <c r="J68" s="808" t="n"/>
      <c r="K68" s="808" t="n"/>
      <c r="L68" s="807" t="n"/>
      <c r="M68" s="808" t="n"/>
      <c r="N68" s="808" t="n"/>
      <c r="O68" s="809" t="n"/>
      <c r="P68" s="583" t="n"/>
      <c r="Q68" s="583" t="n"/>
      <c r="R68" s="584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9" t="n"/>
      <c r="AG68" s="9" t="n"/>
      <c r="AH68" s="9" t="n"/>
    </row>
    <row r="69" ht="15" customHeight="1">
      <c r="A69" s="601" t="n"/>
      <c r="F69" s="602" t="n"/>
      <c r="G69" s="613" t="n"/>
      <c r="H69" s="602" t="n"/>
      <c r="I69" s="32" t="inlineStr">
        <is>
          <t>ディッチ、１</t>
        </is>
      </c>
      <c r="J69" s="811" t="n"/>
      <c r="K69" s="811" t="n"/>
      <c r="L69" s="810" t="n"/>
      <c r="M69" s="811" t="n"/>
      <c r="N69" s="811" t="n"/>
      <c r="O69" s="812" t="n"/>
      <c r="P69" s="577" t="n"/>
      <c r="Q69" s="577" t="n"/>
      <c r="R69" s="578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9" t="n"/>
      <c r="AG69" s="9" t="n"/>
      <c r="AH69" s="9" t="n"/>
    </row>
    <row r="70" ht="15" customHeight="1">
      <c r="A70" s="601" t="n"/>
      <c r="F70" s="602" t="n"/>
      <c r="G70" s="613" t="n"/>
      <c r="H70" s="602" t="n"/>
      <c r="I70" s="32" t="inlineStr">
        <is>
          <t>ディッチ、２</t>
        </is>
      </c>
      <c r="J70" s="811" t="n"/>
      <c r="K70" s="811" t="n"/>
      <c r="L70" s="810" t="n"/>
      <c r="M70" s="811" t="n"/>
      <c r="N70" s="811" t="n"/>
      <c r="O70" s="812" t="n"/>
      <c r="P70" s="577" t="n"/>
      <c r="Q70" s="577" t="n"/>
      <c r="R70" s="578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9" t="n"/>
      <c r="AG70" s="9" t="n"/>
      <c r="AH70" s="9" t="n"/>
    </row>
    <row r="71" ht="15" customHeight="1">
      <c r="A71" s="593" t="n"/>
      <c r="B71" s="598" t="n"/>
      <c r="C71" s="598" t="n"/>
      <c r="D71" s="598" t="n"/>
      <c r="E71" s="598" t="n"/>
      <c r="F71" s="591" t="n"/>
      <c r="G71" s="590" t="n"/>
      <c r="H71" s="591" t="n"/>
      <c r="I71" s="35" t="inlineStr">
        <is>
          <t>放流</t>
        </is>
      </c>
      <c r="J71" s="814" t="n"/>
      <c r="K71" s="814" t="n"/>
      <c r="L71" s="813" t="n"/>
      <c r="M71" s="814" t="n"/>
      <c r="N71" s="814" t="n"/>
      <c r="O71" s="815" t="n"/>
      <c r="P71" s="608" t="n"/>
      <c r="Q71" s="608" t="n"/>
      <c r="R71" s="609" t="n"/>
      <c r="S71" s="40" t="n"/>
      <c r="T71" s="40" t="n"/>
      <c r="U71" s="817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9" t="n"/>
      <c r="AG71" s="9" t="n"/>
      <c r="AH71" s="9" t="n"/>
    </row>
    <row r="72" ht="15" customHeight="1">
      <c r="A72" s="579" t="inlineStr">
        <is>
          <t>外観</t>
        </is>
      </c>
      <c r="B72" s="587" t="n"/>
      <c r="C72" s="628" t="inlineStr">
        <is>
          <t>油膜・色合</t>
        </is>
      </c>
      <c r="D72" s="586" t="n"/>
      <c r="E72" s="586" t="n"/>
      <c r="F72" s="587" t="n"/>
      <c r="G72" s="589" t="inlineStr">
        <is>
          <t>有無</t>
        </is>
      </c>
      <c r="H72" s="587" t="n"/>
      <c r="I72" s="29" t="inlineStr">
        <is>
          <t>流入</t>
        </is>
      </c>
      <c r="J72" s="39" t="n"/>
      <c r="K72" s="39" t="n"/>
      <c r="L72" s="39" t="n"/>
      <c r="M72" s="39" t="n"/>
      <c r="N72" s="39" t="n"/>
      <c r="O72" s="582" t="n"/>
      <c r="P72" s="583" t="n"/>
      <c r="Q72" s="583" t="n"/>
      <c r="R72" s="584" t="n"/>
      <c r="S72" s="40" t="n"/>
      <c r="T72" s="40" t="n"/>
      <c r="U72" s="75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9" t="n"/>
      <c r="AG72" s="9" t="n"/>
      <c r="AH72" s="9" t="n"/>
    </row>
    <row r="73" ht="15" customHeight="1">
      <c r="A73" s="601" t="n"/>
      <c r="B73" s="602" t="n"/>
      <c r="C73" s="613" t="n"/>
      <c r="F73" s="602" t="n"/>
      <c r="G73" s="613" t="n"/>
      <c r="H73" s="602" t="n"/>
      <c r="I73" s="32" t="inlineStr">
        <is>
          <t>ディッチ、１</t>
        </is>
      </c>
      <c r="J73" s="42" t="n"/>
      <c r="K73" s="42" t="n"/>
      <c r="L73" s="42" t="n"/>
      <c r="M73" s="42" t="n"/>
      <c r="N73" s="42" t="n"/>
      <c r="O73" s="644" t="n"/>
      <c r="P73" s="577" t="n"/>
      <c r="Q73" s="577" t="n"/>
      <c r="R73" s="578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9" t="n"/>
      <c r="AG73" s="9" t="n"/>
      <c r="AH73" s="9" t="n"/>
    </row>
    <row r="74" ht="15" customHeight="1">
      <c r="A74" s="601" t="n"/>
      <c r="B74" s="602" t="n"/>
      <c r="C74" s="613" t="n"/>
      <c r="F74" s="602" t="n"/>
      <c r="G74" s="613" t="n"/>
      <c r="H74" s="602" t="n"/>
      <c r="I74" s="32" t="inlineStr">
        <is>
          <t>ディッチ、２</t>
        </is>
      </c>
      <c r="J74" s="42" t="n"/>
      <c r="K74" s="42" t="n"/>
      <c r="L74" s="42" t="n"/>
      <c r="M74" s="42" t="n"/>
      <c r="N74" s="42" t="n"/>
      <c r="O74" s="644" t="n"/>
      <c r="P74" s="577" t="n"/>
      <c r="Q74" s="577" t="n"/>
      <c r="R74" s="578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9" t="n"/>
      <c r="AG74" s="9" t="n"/>
      <c r="AH74" s="9" t="n"/>
    </row>
    <row r="75" ht="15" customHeight="1">
      <c r="A75" s="593" t="n"/>
      <c r="B75" s="591" t="n"/>
      <c r="C75" s="590" t="n"/>
      <c r="D75" s="598" t="n"/>
      <c r="E75" s="598" t="n"/>
      <c r="F75" s="591" t="n"/>
      <c r="G75" s="590" t="n"/>
      <c r="H75" s="591" t="n"/>
      <c r="I75" s="35" t="inlineStr">
        <is>
          <t>放流</t>
        </is>
      </c>
      <c r="J75" s="44" t="n"/>
      <c r="K75" s="44" t="n"/>
      <c r="L75" s="44" t="n"/>
      <c r="M75" s="44" t="n"/>
      <c r="N75" s="44" t="n"/>
      <c r="O75" s="619" t="n"/>
      <c r="P75" s="608" t="n"/>
      <c r="Q75" s="608" t="n"/>
      <c r="R75" s="609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9" t="n"/>
      <c r="AG75" s="9" t="n"/>
      <c r="AH75" s="9" t="n"/>
    </row>
    <row r="76" ht="15" customHeight="1">
      <c r="A76" s="579" t="inlineStr">
        <is>
          <t>透視度</t>
        </is>
      </c>
      <c r="B76" s="586" t="n"/>
      <c r="C76" s="586" t="n"/>
      <c r="D76" s="586" t="n"/>
      <c r="E76" s="586" t="n"/>
      <c r="F76" s="587" t="n"/>
      <c r="G76" s="589" t="inlineStr">
        <is>
          <t>ｃｍ</t>
        </is>
      </c>
      <c r="H76" s="587" t="n"/>
      <c r="I76" s="29" t="inlineStr">
        <is>
          <t>流入水</t>
        </is>
      </c>
      <c r="J76" s="808" t="n"/>
      <c r="K76" s="808" t="n"/>
      <c r="L76" s="807" t="n"/>
      <c r="M76" s="808" t="n"/>
      <c r="N76" s="808" t="n"/>
      <c r="O76" s="809" t="n"/>
      <c r="P76" s="583" t="n"/>
      <c r="Q76" s="583" t="n"/>
      <c r="R76" s="584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  <c r="AD76" s="40" t="n"/>
      <c r="AE76" s="40" t="n"/>
      <c r="AF76" s="9" t="n"/>
      <c r="AG76" s="9" t="n"/>
      <c r="AH76" s="9" t="n"/>
    </row>
    <row r="77" ht="15" customHeight="1">
      <c r="A77" s="593" t="n"/>
      <c r="B77" s="598" t="n"/>
      <c r="C77" s="598" t="n"/>
      <c r="D77" s="598" t="n"/>
      <c r="E77" s="598" t="n"/>
      <c r="F77" s="591" t="n"/>
      <c r="G77" s="590" t="n"/>
      <c r="H77" s="591" t="n"/>
      <c r="I77" s="35" t="inlineStr">
        <is>
          <t>放流水</t>
        </is>
      </c>
      <c r="J77" s="46" t="n"/>
      <c r="K77" s="46" t="n"/>
      <c r="L77" s="45" t="n"/>
      <c r="M77" s="46" t="n"/>
      <c r="N77" s="46" t="n"/>
      <c r="O77" s="639" t="n"/>
      <c r="P77" s="608" t="n"/>
      <c r="Q77" s="608" t="n"/>
      <c r="R77" s="609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9" t="n"/>
      <c r="AG77" s="9" t="n"/>
      <c r="AH77" s="9" t="n"/>
    </row>
    <row r="78" ht="15" customHeight="1">
      <c r="A78" s="579" t="inlineStr">
        <is>
          <t>臭気</t>
        </is>
      </c>
      <c r="B78" s="587" t="n"/>
      <c r="C78" s="632" t="inlineStr">
        <is>
          <t>腐敗臭</t>
        </is>
      </c>
      <c r="D78" s="586" t="n"/>
      <c r="E78" s="586" t="n"/>
      <c r="F78" s="587" t="n"/>
      <c r="G78" s="589" t="inlineStr">
        <is>
          <t>有無</t>
        </is>
      </c>
      <c r="H78" s="587" t="n"/>
      <c r="I78" s="29" t="inlineStr">
        <is>
          <t>流入</t>
        </is>
      </c>
      <c r="J78" s="48" t="n"/>
      <c r="K78" s="48" t="n"/>
      <c r="L78" s="48" t="n"/>
      <c r="M78" s="48" t="n"/>
      <c r="N78" s="48" t="n"/>
      <c r="O78" s="582" t="n"/>
      <c r="P78" s="583" t="n"/>
      <c r="Q78" s="583" t="n"/>
      <c r="R78" s="584" t="n"/>
      <c r="S78" s="40" t="n"/>
      <c r="T78" s="76" t="n"/>
      <c r="U78" s="9" t="n"/>
      <c r="V78" s="9" t="n"/>
      <c r="W78" s="9" t="n"/>
      <c r="X78" s="9" t="n"/>
      <c r="Y78" s="9" t="n"/>
      <c r="Z78" s="40" t="n"/>
      <c r="AA78" s="40" t="n"/>
      <c r="AB78" s="40" t="n"/>
      <c r="AC78" s="40" t="n"/>
      <c r="AD78" s="40" t="n"/>
      <c r="AE78" s="40" t="n"/>
      <c r="AF78" s="9" t="n"/>
      <c r="AG78" s="9" t="n"/>
      <c r="AH78" s="9" t="n"/>
    </row>
    <row r="79" ht="15" customHeight="1">
      <c r="A79" s="601" t="n"/>
      <c r="B79" s="602" t="n"/>
      <c r="C79" s="613" t="n"/>
      <c r="F79" s="602" t="n"/>
      <c r="G79" s="613" t="n"/>
      <c r="H79" s="602" t="n"/>
      <c r="I79" s="32" t="inlineStr">
        <is>
          <t>ディッチ、１</t>
        </is>
      </c>
      <c r="J79" s="50" t="n"/>
      <c r="K79" s="50" t="n"/>
      <c r="L79" s="50" t="n"/>
      <c r="M79" s="50" t="n"/>
      <c r="N79" s="50" t="n"/>
      <c r="O79" s="644" t="n"/>
      <c r="P79" s="577" t="n"/>
      <c r="Q79" s="577" t="n"/>
      <c r="R79" s="578" t="n"/>
      <c r="S79" s="40" t="n"/>
      <c r="T79" s="76" t="n"/>
      <c r="U79" s="9" t="n"/>
      <c r="V79" s="9" t="n"/>
      <c r="W79" s="9" t="n"/>
      <c r="X79" s="9" t="n"/>
      <c r="Y79" s="9" t="n"/>
      <c r="Z79" s="40" t="n"/>
      <c r="AA79" s="40" t="n"/>
      <c r="AB79" s="40" t="n"/>
      <c r="AC79" s="40" t="n"/>
      <c r="AD79" s="40" t="n"/>
      <c r="AE79" s="40" t="n"/>
      <c r="AF79" s="9" t="n"/>
      <c r="AG79" s="9" t="n"/>
      <c r="AH79" s="9" t="n"/>
    </row>
    <row r="80" ht="15" customHeight="1">
      <c r="A80" s="601" t="n"/>
      <c r="B80" s="602" t="n"/>
      <c r="C80" s="613" t="n"/>
      <c r="F80" s="602" t="n"/>
      <c r="G80" s="613" t="n"/>
      <c r="H80" s="602" t="n"/>
      <c r="I80" s="32" t="inlineStr">
        <is>
          <t>ディッチ、２</t>
        </is>
      </c>
      <c r="J80" s="50" t="n"/>
      <c r="K80" s="50" t="n"/>
      <c r="L80" s="50" t="n"/>
      <c r="M80" s="50" t="n"/>
      <c r="N80" s="50" t="n"/>
      <c r="O80" s="644" t="n"/>
      <c r="P80" s="577" t="n"/>
      <c r="Q80" s="577" t="n"/>
      <c r="R80" s="578" t="n"/>
      <c r="S80" s="40" t="n"/>
      <c r="T80" s="40" t="n"/>
      <c r="U80" s="9" t="n"/>
      <c r="V80" s="9" t="n"/>
      <c r="W80" s="9" t="n"/>
      <c r="X80" s="9" t="n"/>
      <c r="Y80" s="9" t="n"/>
      <c r="Z80" s="40" t="n"/>
      <c r="AA80" s="40" t="n"/>
      <c r="AB80" s="40" t="n"/>
      <c r="AC80" s="40" t="n"/>
      <c r="AD80" s="40" t="n"/>
      <c r="AE80" s="40" t="n"/>
      <c r="AF80" s="9" t="n"/>
      <c r="AG80" s="9" t="n"/>
      <c r="AH80" s="9" t="n"/>
    </row>
    <row r="81" ht="15" customHeight="1">
      <c r="A81" s="593" t="n"/>
      <c r="B81" s="591" t="n"/>
      <c r="C81" s="590" t="n"/>
      <c r="D81" s="598" t="n"/>
      <c r="E81" s="598" t="n"/>
      <c r="F81" s="591" t="n"/>
      <c r="G81" s="590" t="n"/>
      <c r="H81" s="591" t="n"/>
      <c r="I81" s="35" t="inlineStr">
        <is>
          <t>放流</t>
        </is>
      </c>
      <c r="J81" s="46" t="n"/>
      <c r="K81" s="46" t="n"/>
      <c r="L81" s="46" t="n"/>
      <c r="M81" s="46" t="n"/>
      <c r="N81" s="46" t="n"/>
      <c r="O81" s="619" t="n"/>
      <c r="P81" s="608" t="n"/>
      <c r="Q81" s="608" t="n"/>
      <c r="R81" s="609" t="n"/>
      <c r="S81" s="40" t="n"/>
      <c r="T81" s="40" t="n"/>
      <c r="U81" s="9" t="n"/>
      <c r="V81" s="9" t="n"/>
      <c r="W81" s="9" t="n"/>
      <c r="X81" s="9" t="n"/>
      <c r="Y81" s="9" t="n"/>
      <c r="Z81" s="40" t="n"/>
      <c r="AA81" s="40" t="n"/>
      <c r="AB81" s="40" t="n"/>
      <c r="AC81" s="40" t="n"/>
      <c r="AD81" s="40" t="n"/>
      <c r="AE81" s="40" t="n"/>
      <c r="AF81" s="9" t="n"/>
      <c r="AG81" s="9" t="n"/>
      <c r="AH81" s="9" t="n"/>
    </row>
    <row r="82" ht="15" customHeight="1">
      <c r="A82" s="579" t="inlineStr">
        <is>
          <t>PH</t>
        </is>
      </c>
      <c r="B82" s="587" t="n"/>
      <c r="C82" s="630" t="n"/>
      <c r="D82" s="586" t="n"/>
      <c r="E82" s="586" t="n"/>
      <c r="F82" s="587" t="n"/>
      <c r="G82" s="589" t="inlineStr">
        <is>
          <t>―</t>
        </is>
      </c>
      <c r="H82" s="587" t="n"/>
      <c r="I82" s="29" t="inlineStr">
        <is>
          <t>流入</t>
        </is>
      </c>
      <c r="J82" s="53" t="n"/>
      <c r="K82" s="53" t="n"/>
      <c r="L82" s="52" t="n"/>
      <c r="M82" s="53" t="n"/>
      <c r="N82" s="53" t="n"/>
      <c r="O82" s="655" t="n"/>
      <c r="P82" s="583" t="n"/>
      <c r="Q82" s="583" t="n"/>
      <c r="R82" s="584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9" t="n"/>
      <c r="AG82" s="9" t="n"/>
      <c r="AH82" s="9" t="n"/>
    </row>
    <row r="83" ht="15" customHeight="1">
      <c r="A83" s="601" t="n"/>
      <c r="B83" s="602" t="n"/>
      <c r="C83" s="613" t="n"/>
      <c r="F83" s="602" t="n"/>
      <c r="G83" s="613" t="n"/>
      <c r="H83" s="602" t="n"/>
      <c r="I83" s="32" t="inlineStr">
        <is>
          <t>ディッチ、１</t>
        </is>
      </c>
      <c r="J83" s="55" t="n"/>
      <c r="K83" s="55" t="n"/>
      <c r="L83" s="54" t="n"/>
      <c r="M83" s="55" t="n"/>
      <c r="N83" s="55" t="n"/>
      <c r="O83" s="576" t="n"/>
      <c r="P83" s="577" t="n"/>
      <c r="Q83" s="577" t="n"/>
      <c r="R83" s="578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9" t="n"/>
      <c r="AG83" s="9" t="n"/>
      <c r="AH83" s="9" t="n"/>
    </row>
    <row r="84" ht="15" customHeight="1">
      <c r="A84" s="601" t="n"/>
      <c r="B84" s="602" t="n"/>
      <c r="C84" s="613" t="n"/>
      <c r="F84" s="602" t="n"/>
      <c r="G84" s="613" t="n"/>
      <c r="H84" s="602" t="n"/>
      <c r="I84" s="32" t="inlineStr">
        <is>
          <t>ディッチ、２</t>
        </is>
      </c>
      <c r="J84" s="55" t="n"/>
      <c r="K84" s="55" t="n"/>
      <c r="L84" s="54" t="n"/>
      <c r="M84" s="55" t="n"/>
      <c r="N84" s="55" t="n"/>
      <c r="O84" s="576" t="n"/>
      <c r="P84" s="577" t="n"/>
      <c r="Q84" s="577" t="n"/>
      <c r="R84" s="578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9" t="n"/>
      <c r="AG84" s="9" t="n"/>
      <c r="AH84" s="9" t="n"/>
    </row>
    <row r="85" ht="15" customHeight="1">
      <c r="A85" s="593" t="n"/>
      <c r="B85" s="591" t="n"/>
      <c r="C85" s="590" t="n"/>
      <c r="D85" s="598" t="n"/>
      <c r="E85" s="598" t="n"/>
      <c r="F85" s="591" t="n"/>
      <c r="G85" s="590" t="n"/>
      <c r="H85" s="591" t="n"/>
      <c r="I85" s="35" t="inlineStr">
        <is>
          <t>放流</t>
        </is>
      </c>
      <c r="J85" s="57" t="n"/>
      <c r="K85" s="57" t="n"/>
      <c r="L85" s="56" t="n"/>
      <c r="M85" s="57" t="n"/>
      <c r="N85" s="57" t="n"/>
      <c r="O85" s="625" t="n"/>
      <c r="P85" s="608" t="n"/>
      <c r="Q85" s="608" t="n"/>
      <c r="R85" s="609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9" t="n"/>
      <c r="AG85" s="9" t="n"/>
      <c r="AH85" s="9" t="n"/>
    </row>
    <row r="86" ht="15" customHeight="1">
      <c r="A86" s="633" t="inlineStr">
        <is>
          <t>SV</t>
        </is>
      </c>
      <c r="B86" s="587" t="n"/>
      <c r="C86" s="588" t="inlineStr">
        <is>
          <t>SV・30</t>
        </is>
      </c>
      <c r="D86" s="574" t="n"/>
      <c r="E86" s="574" t="n"/>
      <c r="F86" s="580" t="n"/>
      <c r="G86" s="589" t="inlineStr">
        <is>
          <t>％</t>
        </is>
      </c>
      <c r="H86" s="587" t="n"/>
      <c r="I86" s="615" t="inlineStr">
        <is>
          <t>１系</t>
        </is>
      </c>
      <c r="J86" s="48" t="n"/>
      <c r="K86" s="48" t="n"/>
      <c r="L86" s="47" t="n"/>
      <c r="M86" s="48" t="n"/>
      <c r="N86" s="48" t="n"/>
      <c r="O86" s="809" t="n"/>
      <c r="P86" s="583" t="n"/>
      <c r="Q86" s="583" t="n"/>
      <c r="R86" s="584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9" t="n"/>
      <c r="AG86" s="9" t="n"/>
      <c r="AH86" s="9" t="n"/>
    </row>
    <row r="87" ht="15" customHeight="1">
      <c r="A87" s="593" t="n"/>
      <c r="B87" s="591" t="n"/>
      <c r="C87" s="588" t="inlineStr">
        <is>
          <t>SV・２４ｈ</t>
        </is>
      </c>
      <c r="D87" s="574" t="n"/>
      <c r="E87" s="574" t="n"/>
      <c r="F87" s="580" t="n"/>
      <c r="G87" s="590" t="n"/>
      <c r="H87" s="591" t="n"/>
      <c r="I87" s="590" t="n"/>
      <c r="J87" s="46" t="n"/>
      <c r="K87" s="46" t="n"/>
      <c r="L87" s="45" t="n"/>
      <c r="M87" s="46" t="n"/>
      <c r="N87" s="46" t="n"/>
      <c r="O87" s="815" t="n"/>
      <c r="P87" s="608" t="n"/>
      <c r="Q87" s="608" t="n"/>
      <c r="R87" s="609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9" t="n"/>
      <c r="AG87" s="9" t="n"/>
      <c r="AH87" s="9" t="n"/>
    </row>
    <row r="88" ht="15" customHeight="1">
      <c r="A88" s="633" t="inlineStr">
        <is>
          <t>SV</t>
        </is>
      </c>
      <c r="B88" s="587" t="n"/>
      <c r="C88" s="588" t="inlineStr">
        <is>
          <t>SV・30</t>
        </is>
      </c>
      <c r="D88" s="574" t="n"/>
      <c r="E88" s="574" t="n"/>
      <c r="F88" s="580" t="n"/>
      <c r="G88" s="589" t="inlineStr">
        <is>
          <t>％</t>
        </is>
      </c>
      <c r="H88" s="587" t="n"/>
      <c r="I88" s="615" t="inlineStr">
        <is>
          <t>２系</t>
        </is>
      </c>
      <c r="J88" s="48" t="n"/>
      <c r="K88" s="48" t="n"/>
      <c r="L88" s="47" t="n"/>
      <c r="M88" s="48" t="n"/>
      <c r="N88" s="48" t="n"/>
      <c r="O88" s="809" t="n"/>
      <c r="P88" s="583" t="n"/>
      <c r="Q88" s="583" t="n"/>
      <c r="R88" s="584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9" t="n"/>
      <c r="AG88" s="9" t="n"/>
      <c r="AH88" s="9" t="n"/>
    </row>
    <row r="89" ht="15" customHeight="1">
      <c r="A89" s="593" t="n"/>
      <c r="B89" s="591" t="n"/>
      <c r="C89" s="588" t="inlineStr">
        <is>
          <t>SV・２４ｈ</t>
        </is>
      </c>
      <c r="D89" s="574" t="n"/>
      <c r="E89" s="574" t="n"/>
      <c r="F89" s="580" t="n"/>
      <c r="G89" s="590" t="n"/>
      <c r="H89" s="591" t="n"/>
      <c r="I89" s="590" t="n"/>
      <c r="J89" s="46" t="n"/>
      <c r="K89" s="46" t="n"/>
      <c r="L89" s="45" t="n"/>
      <c r="M89" s="46" t="n"/>
      <c r="N89" s="46" t="n"/>
      <c r="O89" s="815" t="n"/>
      <c r="P89" s="608" t="n"/>
      <c r="Q89" s="608" t="n"/>
      <c r="R89" s="609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9" t="n"/>
      <c r="AG89" s="9" t="n"/>
      <c r="AH89" s="9" t="n"/>
    </row>
    <row r="90" ht="15" customHeight="1">
      <c r="A90" s="592" t="inlineStr">
        <is>
          <t>反応槽</t>
        </is>
      </c>
      <c r="B90" s="587" t="n"/>
      <c r="C90" s="589" t="inlineStr">
        <is>
          <t>MLSS</t>
        </is>
      </c>
      <c r="D90" s="586" t="n"/>
      <c r="E90" s="586" t="n"/>
      <c r="F90" s="587" t="n"/>
      <c r="G90" s="589" t="inlineStr">
        <is>
          <t>㎎/ℓ</t>
        </is>
      </c>
      <c r="H90" s="587" t="n"/>
      <c r="I90" s="58" t="inlineStr">
        <is>
          <t>1系</t>
        </is>
      </c>
      <c r="J90" s="60" t="n"/>
      <c r="K90" s="60" t="n"/>
      <c r="L90" s="59" t="n"/>
      <c r="M90" s="60" t="n"/>
      <c r="N90" s="77" t="n"/>
      <c r="O90" s="818" t="n"/>
      <c r="P90" s="637" t="n"/>
      <c r="Q90" s="637" t="n"/>
      <c r="R90" s="638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9" t="n"/>
      <c r="AG90" s="9" t="n"/>
      <c r="AH90" s="9" t="n"/>
    </row>
    <row r="91" ht="15" customHeight="1">
      <c r="A91" s="593" t="n"/>
      <c r="B91" s="591" t="n"/>
      <c r="C91" s="590" t="n"/>
      <c r="D91" s="598" t="n"/>
      <c r="E91" s="598" t="n"/>
      <c r="F91" s="591" t="n"/>
      <c r="G91" s="590" t="n"/>
      <c r="H91" s="591" t="n"/>
      <c r="I91" s="61" t="inlineStr">
        <is>
          <t>2系</t>
        </is>
      </c>
      <c r="J91" s="63" t="n"/>
      <c r="K91" s="63" t="n"/>
      <c r="L91" s="62" t="n"/>
      <c r="M91" s="63" t="n"/>
      <c r="N91" s="63" t="n"/>
      <c r="O91" s="819" t="n"/>
      <c r="P91" s="598" t="n"/>
      <c r="Q91" s="598" t="n"/>
      <c r="R91" s="624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9" t="n"/>
      <c r="AG91" s="9" t="n"/>
      <c r="AH91" s="9" t="n"/>
    </row>
    <row r="92" ht="15" customHeight="1">
      <c r="A92" s="579" t="inlineStr">
        <is>
          <t>汚泥界面</t>
        </is>
      </c>
      <c r="B92" s="586" t="n"/>
      <c r="C92" s="586" t="n"/>
      <c r="D92" s="586" t="n"/>
      <c r="E92" s="586" t="n"/>
      <c r="F92" s="587" t="n"/>
      <c r="G92" s="589" t="inlineStr">
        <is>
          <t>ｃｍ</t>
        </is>
      </c>
      <c r="H92" s="587" t="n"/>
      <c r="I92" s="58" t="inlineStr">
        <is>
          <t>１系終沈</t>
        </is>
      </c>
      <c r="J92" s="65" t="n"/>
      <c r="K92" s="65" t="n"/>
      <c r="L92" s="64" t="n"/>
      <c r="M92" s="65" t="n"/>
      <c r="N92" s="65" t="n"/>
      <c r="O92" s="818" t="n"/>
      <c r="P92" s="637" t="n"/>
      <c r="Q92" s="637" t="n"/>
      <c r="R92" s="638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9" t="n"/>
      <c r="AG92" s="9" t="n"/>
      <c r="AH92" s="9" t="n"/>
    </row>
    <row r="93" ht="15" customHeight="1">
      <c r="A93" s="593" t="n"/>
      <c r="B93" s="598" t="n"/>
      <c r="C93" s="598" t="n"/>
      <c r="D93" s="598" t="n"/>
      <c r="E93" s="598" t="n"/>
      <c r="F93" s="591" t="n"/>
      <c r="G93" s="590" t="n"/>
      <c r="H93" s="591" t="n"/>
      <c r="I93" s="61" t="inlineStr">
        <is>
          <t>２系終沈</t>
        </is>
      </c>
      <c r="J93" s="67" t="n"/>
      <c r="K93" s="67" t="n"/>
      <c r="L93" s="66" t="n"/>
      <c r="M93" s="67" t="n"/>
      <c r="N93" s="67" t="n"/>
      <c r="O93" s="819" t="n"/>
      <c r="P93" s="598" t="n"/>
      <c r="Q93" s="598" t="n"/>
      <c r="R93" s="624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9" t="n"/>
      <c r="AG93" s="9" t="n"/>
      <c r="AH93" s="9" t="n"/>
    </row>
    <row r="94" ht="15" customHeight="1">
      <c r="A94" s="579" t="inlineStr">
        <is>
          <t>残留塩素</t>
        </is>
      </c>
      <c r="B94" s="574" t="n"/>
      <c r="C94" s="574" t="n"/>
      <c r="D94" s="574" t="n"/>
      <c r="E94" s="574" t="n"/>
      <c r="F94" s="580" t="n"/>
      <c r="G94" s="589" t="inlineStr">
        <is>
          <t>㎎/ℓ</t>
        </is>
      </c>
      <c r="H94" s="580" t="n"/>
      <c r="I94" s="68" t="inlineStr">
        <is>
          <t>放流水</t>
        </is>
      </c>
      <c r="J94" s="70" t="n"/>
      <c r="K94" s="70" t="n"/>
      <c r="L94" s="69" t="n"/>
      <c r="M94" s="70" t="n"/>
      <c r="N94" s="70" t="n"/>
      <c r="O94" s="816" t="n"/>
      <c r="P94" s="574" t="n"/>
      <c r="Q94" s="574" t="n"/>
      <c r="R94" s="575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9" t="n"/>
      <c r="AG94" s="9" t="n"/>
      <c r="AH94" s="9" t="n"/>
    </row>
    <row r="95" ht="15" customHeight="1">
      <c r="A95" s="618" t="inlineStr">
        <is>
          <t>塩素投入量</t>
        </is>
      </c>
      <c r="B95" s="574" t="n"/>
      <c r="C95" s="574" t="n"/>
      <c r="D95" s="574" t="n"/>
      <c r="E95" s="574" t="n"/>
      <c r="F95" s="580" t="n"/>
      <c r="G95" s="588" t="inlineStr">
        <is>
          <t>kg</t>
        </is>
      </c>
      <c r="H95" s="580" t="n"/>
      <c r="I95" s="68" t="inlineStr">
        <is>
          <t>塩素混和池</t>
        </is>
      </c>
      <c r="J95" s="70" t="n"/>
      <c r="K95" s="70" t="n"/>
      <c r="L95" s="69" t="n"/>
      <c r="M95" s="70" t="n"/>
      <c r="N95" s="70" t="n"/>
      <c r="O95" s="612" t="n"/>
      <c r="P95" s="574" t="n"/>
      <c r="Q95" s="574" t="n"/>
      <c r="R95" s="575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9" t="n"/>
      <c r="AG95" s="9" t="n"/>
      <c r="AH95" s="9" t="n"/>
    </row>
    <row r="96" ht="15" customHeight="1">
      <c r="A96" s="661" t="inlineStr">
        <is>
          <t xml:space="preserve">　備　　考</t>
        </is>
      </c>
      <c r="B96" s="583" t="n"/>
      <c r="C96" s="583" t="n"/>
      <c r="D96" s="583" t="n"/>
      <c r="E96" s="583" t="n"/>
      <c r="F96" s="583" t="n"/>
      <c r="G96" s="583" t="n"/>
      <c r="H96" s="583" t="n"/>
      <c r="I96" s="583" t="n"/>
      <c r="J96" s="583" t="n"/>
      <c r="K96" s="583" t="n"/>
      <c r="L96" s="583" t="n"/>
      <c r="M96" s="583" t="n"/>
      <c r="N96" s="583" t="n"/>
      <c r="O96" s="583" t="n"/>
      <c r="P96" s="583" t="n"/>
      <c r="Q96" s="583" t="n"/>
      <c r="R96" s="584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9" t="n"/>
      <c r="AG96" s="9" t="n"/>
      <c r="AH96" s="9" t="n"/>
    </row>
    <row r="97" ht="15" customHeight="1">
      <c r="A97" s="665" t="n"/>
      <c r="B97" s="666" t="n"/>
      <c r="C97" s="666" t="n"/>
      <c r="D97" s="666" t="n"/>
      <c r="E97" s="666" t="n"/>
      <c r="F97" s="666" t="n"/>
      <c r="G97" s="666" t="n"/>
      <c r="H97" s="666" t="n"/>
      <c r="I97" s="666" t="n"/>
      <c r="J97" s="666" t="n"/>
      <c r="K97" s="666" t="n"/>
      <c r="L97" s="666" t="n"/>
      <c r="M97" s="666" t="n"/>
      <c r="N97" s="666" t="n"/>
      <c r="O97" s="666" t="n"/>
      <c r="P97" s="666" t="n"/>
      <c r="Q97" s="666" t="n"/>
      <c r="R97" s="667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9" t="n"/>
      <c r="AG97" s="9" t="n"/>
      <c r="AH97" s="9" t="n"/>
    </row>
    <row r="98" ht="15" customHeight="1">
      <c r="A98" s="601" t="n"/>
      <c r="R98" s="668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9" t="n"/>
      <c r="AG98" s="9" t="n"/>
      <c r="AH98" s="9" t="n"/>
    </row>
    <row r="99" ht="15" customHeight="1">
      <c r="A99" s="601" t="n"/>
      <c r="R99" s="668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9" t="n"/>
      <c r="AG99" s="9" t="n"/>
      <c r="AH99" s="9" t="n"/>
    </row>
    <row r="100" ht="15" customHeight="1">
      <c r="A100" s="601" t="n"/>
      <c r="R100" s="668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9" t="n"/>
      <c r="AG100" s="9" t="n"/>
      <c r="AH100" s="9" t="n"/>
    </row>
    <row r="101" ht="15" customHeight="1">
      <c r="A101" s="601" t="n"/>
      <c r="R101" s="668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40" t="n"/>
      <c r="AB101" s="40" t="n"/>
      <c r="AC101" s="40" t="n"/>
      <c r="AD101" s="40" t="n"/>
      <c r="AE101" s="40" t="n"/>
      <c r="AF101" s="9" t="n"/>
      <c r="AG101" s="9" t="n"/>
      <c r="AH101" s="9" t="n"/>
    </row>
    <row r="102" ht="15" customHeight="1">
      <c r="A102" s="601" t="n"/>
      <c r="R102" s="668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9" t="n"/>
      <c r="AG102" s="9" t="n"/>
      <c r="AH102" s="9" t="n"/>
    </row>
    <row r="103" ht="15" customHeight="1">
      <c r="A103" s="601" t="n"/>
      <c r="R103" s="668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9" t="n"/>
      <c r="AG103" s="9" t="n"/>
      <c r="AH103" s="9" t="n"/>
    </row>
    <row r="104" ht="15" customHeight="1" thickBot="1">
      <c r="A104" s="669" t="n"/>
      <c r="B104" s="572" t="n"/>
      <c r="C104" s="572" t="n"/>
      <c r="D104" s="572" t="n"/>
      <c r="E104" s="572" t="n"/>
      <c r="F104" s="572" t="n"/>
      <c r="G104" s="572" t="n"/>
      <c r="H104" s="572" t="n"/>
      <c r="I104" s="572" t="n"/>
      <c r="J104" s="572" t="n"/>
      <c r="K104" s="572" t="n"/>
      <c r="L104" s="572" t="n"/>
      <c r="M104" s="572" t="n"/>
      <c r="N104" s="572" t="n"/>
      <c r="O104" s="572" t="n"/>
      <c r="P104" s="572" t="n"/>
      <c r="Q104" s="572" t="n"/>
      <c r="R104" s="67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9" t="n"/>
      <c r="AG104" s="9" t="n"/>
      <c r="AH104" s="9" t="n"/>
    </row>
    <row r="105" ht="15" customHeight="1">
      <c r="A105" s="570" t="inlineStr">
        <is>
          <t>筒賀水質管理センター　　　維持管理週報</t>
        </is>
      </c>
      <c r="M105" s="820">
        <f>M1</f>
        <v/>
      </c>
      <c r="S105" s="40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</row>
    <row r="106" ht="15" customHeight="1" thickBot="1">
      <c r="A106" s="572" t="n"/>
      <c r="B106" s="572" t="n"/>
      <c r="C106" s="572" t="n"/>
      <c r="D106" s="572" t="n"/>
      <c r="E106" s="572" t="n"/>
      <c r="F106" s="572" t="n"/>
      <c r="G106" s="572" t="n"/>
      <c r="H106" s="572" t="n"/>
      <c r="I106" s="572" t="n"/>
      <c r="J106" s="572" t="n"/>
      <c r="K106" s="572" t="n"/>
      <c r="L106" s="572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</row>
    <row r="107" ht="15" customHeight="1">
      <c r="A107" s="599" t="n"/>
      <c r="B107" s="596" t="n"/>
      <c r="C107" s="596" t="n"/>
      <c r="D107" s="596" t="n"/>
      <c r="E107" s="596" t="n"/>
      <c r="F107" s="596" t="n"/>
      <c r="G107" s="596" t="n"/>
      <c r="H107" s="600" t="n"/>
      <c r="I107" s="821">
        <f>N55</f>
        <v/>
      </c>
      <c r="J107" s="821">
        <f>I107+1</f>
        <v/>
      </c>
      <c r="K107" s="821">
        <f>J107+1</f>
        <v/>
      </c>
      <c r="L107" s="821">
        <f>K107+1</f>
        <v/>
      </c>
      <c r="M107" s="821">
        <f>L107+1</f>
        <v/>
      </c>
      <c r="N107" s="821">
        <f>M107+3</f>
        <v/>
      </c>
      <c r="O107" s="614" t="inlineStr">
        <is>
          <t>平均</t>
        </is>
      </c>
      <c r="P107" s="596" t="n"/>
      <c r="Q107" s="596" t="n"/>
      <c r="R107" s="600" t="n"/>
      <c r="S107" s="9" t="n"/>
      <c r="T107" s="9" t="n"/>
      <c r="U107" s="9" t="n"/>
      <c r="V107" s="822" t="n"/>
      <c r="W107" s="9" t="n"/>
      <c r="X107" s="9" t="n"/>
      <c r="Y107" s="81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</row>
    <row r="108" ht="15" customHeight="1">
      <c r="A108" s="618" t="inlineStr">
        <is>
          <t>全日電力量</t>
        </is>
      </c>
      <c r="B108" s="574" t="n"/>
      <c r="C108" s="574" t="n"/>
      <c r="D108" s="574" t="n"/>
      <c r="E108" s="574" t="n"/>
      <c r="F108" s="580" t="n"/>
      <c r="G108" s="588" t="inlineStr">
        <is>
          <t>Kｗｈ</t>
        </is>
      </c>
      <c r="H108" s="580" t="n"/>
      <c r="I108" s="797" t="n"/>
      <c r="J108" s="823" t="n"/>
      <c r="K108" s="823" t="n"/>
      <c r="L108" s="823" t="n"/>
      <c r="M108" s="823" t="n"/>
      <c r="N108" s="823" t="n"/>
      <c r="O108" s="824" t="n"/>
      <c r="P108" s="574" t="n"/>
      <c r="Q108" s="574" t="n"/>
      <c r="R108" s="580" t="n"/>
      <c r="S108" s="9" t="n"/>
      <c r="T108" s="9" t="n"/>
      <c r="U108" s="9" t="n"/>
      <c r="V108" s="83" t="n"/>
      <c r="W108" s="9" t="n"/>
      <c r="X108" s="9" t="n"/>
      <c r="Y108" s="9" t="n"/>
      <c r="Z108" s="9" t="n"/>
      <c r="AA108" s="84" t="n"/>
      <c r="AB108" s="9" t="n"/>
      <c r="AC108" s="9" t="n"/>
      <c r="AD108" s="9" t="n"/>
      <c r="AE108" s="9" t="n"/>
      <c r="AF108" s="9" t="n"/>
      <c r="AG108" s="9" t="n"/>
      <c r="AH108" s="9" t="n"/>
    </row>
    <row r="109" ht="15" customHeight="1">
      <c r="A109" s="618" t="inlineStr">
        <is>
          <t>力測電力量</t>
        </is>
      </c>
      <c r="B109" s="574" t="n"/>
      <c r="C109" s="574" t="n"/>
      <c r="D109" s="574" t="n"/>
      <c r="E109" s="574" t="n"/>
      <c r="F109" s="580" t="n"/>
      <c r="G109" s="588" t="inlineStr">
        <is>
          <t>Kｗｈ</t>
        </is>
      </c>
      <c r="H109" s="580" t="n"/>
      <c r="I109" s="797" t="n"/>
      <c r="J109" s="823" t="n"/>
      <c r="K109" s="823" t="n"/>
      <c r="L109" s="823" t="n"/>
      <c r="M109" s="823" t="n"/>
      <c r="N109" s="823" t="n"/>
      <c r="O109" s="824" t="n"/>
      <c r="P109" s="574" t="n"/>
      <c r="Q109" s="574" t="n"/>
      <c r="R109" s="580" t="n"/>
      <c r="S109" s="9" t="n"/>
      <c r="T109" s="9" t="n"/>
      <c r="U109" s="9" t="n"/>
      <c r="V109" s="83" t="n"/>
      <c r="W109" s="9" t="n"/>
      <c r="X109" s="9" t="n"/>
      <c r="Y109" s="9" t="n"/>
      <c r="Z109" s="9" t="n"/>
      <c r="AA109" s="84" t="n"/>
      <c r="AB109" s="9" t="n"/>
      <c r="AC109" s="9" t="n"/>
      <c r="AD109" s="9" t="n"/>
      <c r="AE109" s="9" t="n"/>
      <c r="AF109" s="9" t="n"/>
      <c r="AG109" s="9" t="n"/>
      <c r="AH109" s="9" t="n"/>
    </row>
    <row r="110" ht="15" customHeight="1">
      <c r="A110" s="618" t="inlineStr">
        <is>
          <t>無効電力量</t>
        </is>
      </c>
      <c r="B110" s="574" t="n"/>
      <c r="C110" s="574" t="n"/>
      <c r="D110" s="574" t="n"/>
      <c r="E110" s="574" t="n"/>
      <c r="F110" s="580" t="n"/>
      <c r="G110" s="588" t="inlineStr">
        <is>
          <t>Kvar</t>
        </is>
      </c>
      <c r="H110" s="580" t="n"/>
      <c r="I110" s="797" t="n"/>
      <c r="J110" s="823" t="n"/>
      <c r="K110" s="823" t="n"/>
      <c r="L110" s="823" t="n"/>
      <c r="M110" s="823" t="n"/>
      <c r="N110" s="823" t="n"/>
      <c r="O110" s="824" t="n"/>
      <c r="P110" s="574" t="n"/>
      <c r="Q110" s="574" t="n"/>
      <c r="R110" s="580" t="n"/>
      <c r="S110" s="9" t="n"/>
      <c r="T110" s="9" t="n"/>
      <c r="U110" s="9" t="n"/>
      <c r="V110" s="83" t="n"/>
      <c r="W110" s="9" t="n"/>
      <c r="X110" s="9" t="n"/>
      <c r="Y110" s="9" t="n"/>
      <c r="Z110" s="9" t="n"/>
      <c r="AA110" s="84" t="n"/>
      <c r="AB110" s="9" t="n"/>
      <c r="AC110" s="9" t="n"/>
      <c r="AD110" s="9" t="n"/>
      <c r="AE110" s="9" t="n"/>
      <c r="AF110" s="9" t="n"/>
      <c r="AG110" s="9" t="n"/>
      <c r="AH110" s="9" t="n"/>
    </row>
    <row r="111" ht="15" customHeight="1">
      <c r="A111" s="618" t="inlineStr">
        <is>
          <t>デマンド</t>
        </is>
      </c>
      <c r="B111" s="574" t="n"/>
      <c r="C111" s="574" t="n"/>
      <c r="D111" s="574" t="n"/>
      <c r="E111" s="574" t="n"/>
      <c r="F111" s="580" t="n"/>
      <c r="G111" s="588" t="inlineStr">
        <is>
          <t>Kw</t>
        </is>
      </c>
      <c r="H111" s="580" t="n"/>
      <c r="I111" s="797" t="n"/>
      <c r="J111" s="823" t="n"/>
      <c r="K111" s="823" t="n"/>
      <c r="L111" s="823" t="n"/>
      <c r="M111" s="823" t="n"/>
      <c r="N111" s="823" t="n"/>
      <c r="O111" s="824" t="n"/>
      <c r="P111" s="574" t="n"/>
      <c r="Q111" s="574" t="n"/>
      <c r="R111" s="580" t="n"/>
      <c r="S111" s="9" t="n"/>
      <c r="T111" s="9" t="n"/>
      <c r="U111" s="9" t="n"/>
      <c r="V111" s="83" t="n"/>
      <c r="W111" s="9" t="n"/>
      <c r="X111" s="9" t="n"/>
      <c r="Y111" s="9" t="n"/>
      <c r="Z111" s="9" t="n"/>
      <c r="AA111" s="84" t="n"/>
      <c r="AB111" s="9" t="n"/>
      <c r="AC111" s="9" t="n"/>
      <c r="AD111" s="9" t="n"/>
      <c r="AE111" s="9" t="n"/>
      <c r="AF111" s="9" t="n"/>
      <c r="AG111" s="9" t="n"/>
      <c r="AH111" s="9" t="n"/>
    </row>
    <row r="112" ht="15" customHeight="1">
      <c r="A112" s="618" t="inlineStr">
        <is>
          <t>水道使用量</t>
        </is>
      </c>
      <c r="B112" s="574" t="n"/>
      <c r="C112" s="574" t="n"/>
      <c r="D112" s="574" t="n"/>
      <c r="E112" s="574" t="n"/>
      <c r="F112" s="580" t="n"/>
      <c r="G112" s="588" t="inlineStr">
        <is>
          <t>㎥</t>
        </is>
      </c>
      <c r="H112" s="580" t="n"/>
      <c r="I112" s="797" t="n"/>
      <c r="J112" s="823" t="n"/>
      <c r="K112" s="823" t="n"/>
      <c r="L112" s="823" t="n"/>
      <c r="M112" s="823" t="n"/>
      <c r="N112" s="823" t="n"/>
      <c r="O112" s="824" t="n"/>
      <c r="P112" s="574" t="n"/>
      <c r="Q112" s="574" t="n"/>
      <c r="R112" s="580" t="n"/>
      <c r="S112" s="9" t="n"/>
      <c r="T112" s="9" t="n"/>
      <c r="U112" s="9" t="n"/>
      <c r="V112" s="83" t="n"/>
      <c r="W112" s="9" t="n"/>
      <c r="X112" s="9" t="n"/>
      <c r="Y112" s="825" t="n"/>
      <c r="Z112" s="9" t="n"/>
      <c r="AA112" s="84" t="n"/>
      <c r="AB112" s="9" t="n"/>
      <c r="AC112" s="9" t="n"/>
      <c r="AD112" s="9" t="n"/>
      <c r="AE112" s="9" t="n"/>
      <c r="AF112" s="9" t="n"/>
      <c r="AG112" s="9" t="n"/>
      <c r="AH112" s="9" t="n"/>
    </row>
    <row r="113" ht="15" customHeight="1">
      <c r="A113" s="618" t="inlineStr">
        <is>
          <t>軽油（残量）</t>
        </is>
      </c>
      <c r="B113" s="574" t="n"/>
      <c r="C113" s="574" t="n"/>
      <c r="D113" s="574" t="n"/>
      <c r="E113" s="574" t="n"/>
      <c r="F113" s="580" t="n"/>
      <c r="G113" s="588" t="inlineStr">
        <is>
          <t>ℓ</t>
        </is>
      </c>
      <c r="H113" s="580" t="n"/>
      <c r="I113" s="17" t="n"/>
      <c r="J113" s="86" t="n"/>
      <c r="K113" s="86" t="n"/>
      <c r="L113" s="86" t="n"/>
      <c r="M113" s="86" t="n"/>
      <c r="N113" s="86" t="n"/>
      <c r="O113" s="826" t="n"/>
      <c r="P113" s="574" t="n"/>
      <c r="Q113" s="574" t="n"/>
      <c r="R113" s="580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827" t="n"/>
      <c r="AB113" s="9" t="n"/>
      <c r="AC113" s="9" t="n"/>
      <c r="AD113" s="9" t="n"/>
      <c r="AE113" s="9" t="n"/>
      <c r="AF113" s="9" t="n"/>
      <c r="AG113" s="9" t="n"/>
      <c r="AH113" s="9" t="n"/>
    </row>
    <row r="114" ht="15" customHeight="1">
      <c r="A114" s="616" t="inlineStr">
        <is>
          <t>返送汚泥流量（№1）</t>
        </is>
      </c>
      <c r="B114" s="574" t="n"/>
      <c r="C114" s="574" t="n"/>
      <c r="D114" s="574" t="n"/>
      <c r="E114" s="574" t="n"/>
      <c r="F114" s="580" t="n"/>
      <c r="G114" s="588" t="inlineStr">
        <is>
          <t>㎥</t>
        </is>
      </c>
      <c r="H114" s="580" t="n"/>
      <c r="I114" s="802" t="n"/>
      <c r="J114" s="828" t="n"/>
      <c r="K114" s="828" t="n"/>
      <c r="L114" s="828" t="n"/>
      <c r="M114" s="828" t="n"/>
      <c r="N114" s="828" t="n"/>
      <c r="O114" s="656" t="n"/>
      <c r="P114" s="574" t="n"/>
      <c r="Q114" s="574" t="n"/>
      <c r="R114" s="580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</row>
    <row r="115" ht="15" customHeight="1">
      <c r="A115" s="616" t="inlineStr">
        <is>
          <t>返送汚泥流量（№2）</t>
        </is>
      </c>
      <c r="B115" s="574" t="n"/>
      <c r="C115" s="574" t="n"/>
      <c r="D115" s="574" t="n"/>
      <c r="E115" s="574" t="n"/>
      <c r="F115" s="580" t="n"/>
      <c r="G115" s="588" t="inlineStr">
        <is>
          <t>㎥</t>
        </is>
      </c>
      <c r="H115" s="580" t="n"/>
      <c r="I115" s="802" t="n"/>
      <c r="J115" s="828" t="n"/>
      <c r="K115" s="828" t="n"/>
      <c r="L115" s="828" t="n"/>
      <c r="M115" s="828" t="n"/>
      <c r="N115" s="828" t="n"/>
      <c r="O115" s="656" t="n"/>
      <c r="P115" s="574" t="n"/>
      <c r="Q115" s="574" t="n"/>
      <c r="R115" s="580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</row>
    <row r="116" ht="15" customHeight="1" thickBot="1">
      <c r="A116" s="635" t="inlineStr">
        <is>
          <t>放流流量</t>
        </is>
      </c>
      <c r="B116" s="586" t="n"/>
      <c r="C116" s="586" t="n"/>
      <c r="D116" s="586" t="n"/>
      <c r="E116" s="586" t="n"/>
      <c r="F116" s="587" t="n"/>
      <c r="G116" s="606" t="inlineStr">
        <is>
          <t>㎥</t>
        </is>
      </c>
      <c r="H116" s="587" t="n"/>
      <c r="I116" s="802" t="n"/>
      <c r="J116" s="828" t="n"/>
      <c r="K116" s="828" t="n"/>
      <c r="L116" s="828" t="n"/>
      <c r="M116" s="828" t="n"/>
      <c r="N116" s="828" t="n"/>
      <c r="O116" s="656" t="n"/>
      <c r="P116" s="574" t="n"/>
      <c r="Q116" s="574" t="n"/>
      <c r="R116" s="580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</row>
    <row r="117" ht="45" customHeight="1" thickBot="1">
      <c r="A117" s="649" t="inlineStr">
        <is>
          <t>日 常 水 質 測 定 結 果</t>
        </is>
      </c>
      <c r="B117" s="650" t="n"/>
      <c r="C117" s="650" t="n"/>
      <c r="D117" s="650" t="n"/>
      <c r="E117" s="650" t="n"/>
      <c r="F117" s="650" t="n"/>
      <c r="G117" s="650" t="n"/>
      <c r="H117" s="650" t="n"/>
      <c r="I117" s="650" t="n"/>
      <c r="J117" s="650" t="n"/>
      <c r="K117" s="650" t="n"/>
      <c r="L117" s="650" t="n"/>
      <c r="M117" s="650" t="n"/>
      <c r="N117" s="650" t="n"/>
      <c r="O117" s="650" t="n"/>
      <c r="P117" s="650" t="n"/>
      <c r="Q117" s="650" t="n"/>
      <c r="R117" s="651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</row>
    <row r="118" ht="15" customHeight="1">
      <c r="A118" s="631" t="inlineStr">
        <is>
          <t>測 定 項 目</t>
        </is>
      </c>
      <c r="H118" s="602" t="n"/>
      <c r="I118" s="22" t="inlineStr">
        <is>
          <t>測定場所</t>
        </is>
      </c>
      <c r="J118" s="806">
        <f>I107</f>
        <v/>
      </c>
      <c r="K118" s="806">
        <f>J107</f>
        <v/>
      </c>
      <c r="L118" s="806">
        <f>K107</f>
        <v/>
      </c>
      <c r="M118" s="806">
        <f>L107</f>
        <v/>
      </c>
      <c r="N118" s="829">
        <f>M107</f>
        <v/>
      </c>
      <c r="O118" s="627">
        <f>O107</f>
        <v/>
      </c>
      <c r="R118" s="602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</row>
    <row r="119" ht="15" customHeight="1">
      <c r="A119" s="593" t="n"/>
      <c r="B119" s="598" t="n"/>
      <c r="C119" s="598" t="n"/>
      <c r="D119" s="598" t="n"/>
      <c r="E119" s="598" t="n"/>
      <c r="F119" s="598" t="n"/>
      <c r="G119" s="598" t="n"/>
      <c r="H119" s="591" t="n"/>
      <c r="I119" s="615" t="inlineStr">
        <is>
          <t>測定者</t>
        </is>
      </c>
      <c r="J119" s="27" t="inlineStr">
        <is>
          <t>山根　悠貴</t>
        </is>
      </c>
      <c r="K119" s="27" t="inlineStr">
        <is>
          <t>山根　悠貴</t>
        </is>
      </c>
      <c r="L119" s="27" t="inlineStr">
        <is>
          <t>山根　悠貴</t>
        </is>
      </c>
      <c r="M119" s="27" t="inlineStr">
        <is>
          <t>山根　悠貴</t>
        </is>
      </c>
      <c r="N119" s="27" t="n"/>
      <c r="O119" s="590" t="n"/>
      <c r="P119" s="598" t="n"/>
      <c r="Q119" s="598" t="n"/>
      <c r="R119" s="591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</row>
    <row r="120" ht="15" customHeight="1">
      <c r="A120" s="579" t="inlineStr">
        <is>
          <t xml:space="preserve">水温　　　　　</t>
        </is>
      </c>
      <c r="B120" s="586" t="n"/>
      <c r="C120" s="586" t="n"/>
      <c r="D120" s="586" t="n"/>
      <c r="E120" s="586" t="n"/>
      <c r="F120" s="587" t="n"/>
      <c r="G120" s="589" t="inlineStr">
        <is>
          <t>℃</t>
        </is>
      </c>
      <c r="H120" s="587" t="n"/>
      <c r="I120" s="29" t="inlineStr">
        <is>
          <t>流入</t>
        </is>
      </c>
      <c r="J120" s="808" t="n"/>
      <c r="K120" s="808" t="n"/>
      <c r="L120" s="808" t="n"/>
      <c r="M120" s="808" t="n"/>
      <c r="N120" s="808" t="n"/>
      <c r="O120" s="809" t="n"/>
      <c r="P120" s="583" t="n"/>
      <c r="Q120" s="583" t="n"/>
      <c r="R120" s="584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</row>
    <row r="121" ht="15" customHeight="1">
      <c r="A121" s="601" t="n"/>
      <c r="F121" s="602" t="n"/>
      <c r="G121" s="613" t="n"/>
      <c r="H121" s="602" t="n"/>
      <c r="I121" s="32" t="inlineStr">
        <is>
          <t>ディッチ、１</t>
        </is>
      </c>
      <c r="J121" s="811" t="n"/>
      <c r="K121" s="811" t="n"/>
      <c r="L121" s="811" t="n"/>
      <c r="M121" s="811" t="n"/>
      <c r="N121" s="811" t="n"/>
      <c r="O121" s="812" t="n"/>
      <c r="P121" s="577" t="n"/>
      <c r="Q121" s="577" t="n"/>
      <c r="R121" s="578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</row>
    <row r="122" ht="15" customHeight="1">
      <c r="A122" s="601" t="n"/>
      <c r="F122" s="602" t="n"/>
      <c r="G122" s="613" t="n"/>
      <c r="H122" s="602" t="n"/>
      <c r="I122" s="32" t="inlineStr">
        <is>
          <t>ディッチ、２</t>
        </is>
      </c>
      <c r="J122" s="811" t="n"/>
      <c r="K122" s="811" t="n"/>
      <c r="L122" s="811" t="n"/>
      <c r="M122" s="811" t="n"/>
      <c r="N122" s="811" t="n"/>
      <c r="O122" s="812" t="n"/>
      <c r="P122" s="577" t="n"/>
      <c r="Q122" s="577" t="n"/>
      <c r="R122" s="578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</row>
    <row r="123" ht="15" customHeight="1">
      <c r="A123" s="593" t="n"/>
      <c r="B123" s="598" t="n"/>
      <c r="C123" s="598" t="n"/>
      <c r="D123" s="598" t="n"/>
      <c r="E123" s="598" t="n"/>
      <c r="F123" s="591" t="n"/>
      <c r="G123" s="590" t="n"/>
      <c r="H123" s="591" t="n"/>
      <c r="I123" s="35" t="inlineStr">
        <is>
          <t>放流</t>
        </is>
      </c>
      <c r="J123" s="814" t="n"/>
      <c r="K123" s="814" t="n"/>
      <c r="L123" s="814" t="n"/>
      <c r="M123" s="814" t="n"/>
      <c r="N123" s="814" t="n"/>
      <c r="O123" s="815" t="n"/>
      <c r="P123" s="608" t="n"/>
      <c r="Q123" s="608" t="n"/>
      <c r="R123" s="60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</row>
    <row r="124" ht="15" customHeight="1">
      <c r="A124" s="579" t="inlineStr">
        <is>
          <t>外観</t>
        </is>
      </c>
      <c r="B124" s="587" t="n"/>
      <c r="C124" s="628" t="inlineStr">
        <is>
          <t>油膜・色合</t>
        </is>
      </c>
      <c r="D124" s="586" t="n"/>
      <c r="E124" s="586" t="n"/>
      <c r="F124" s="587" t="n"/>
      <c r="G124" s="589" t="inlineStr">
        <is>
          <t>有無</t>
        </is>
      </c>
      <c r="H124" s="587" t="n"/>
      <c r="I124" s="29" t="inlineStr">
        <is>
          <t>流入</t>
        </is>
      </c>
      <c r="J124" s="39" t="n"/>
      <c r="K124" s="39" t="n"/>
      <c r="L124" s="39" t="n"/>
      <c r="M124" s="39" t="n"/>
      <c r="N124" s="39" t="n"/>
      <c r="O124" s="582" t="n"/>
      <c r="P124" s="583" t="n"/>
      <c r="Q124" s="583" t="n"/>
      <c r="R124" s="584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</row>
    <row r="125" ht="15" customHeight="1">
      <c r="A125" s="601" t="n"/>
      <c r="B125" s="602" t="n"/>
      <c r="C125" s="613" t="n"/>
      <c r="F125" s="602" t="n"/>
      <c r="G125" s="613" t="n"/>
      <c r="H125" s="602" t="n"/>
      <c r="I125" s="32" t="inlineStr">
        <is>
          <t>ディッチ、１</t>
        </is>
      </c>
      <c r="J125" s="42" t="n"/>
      <c r="K125" s="42" t="n"/>
      <c r="L125" s="42" t="n"/>
      <c r="M125" s="42" t="n"/>
      <c r="N125" s="42" t="n"/>
      <c r="O125" s="644" t="n"/>
      <c r="P125" s="577" t="n"/>
      <c r="Q125" s="577" t="n"/>
      <c r="R125" s="578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</row>
    <row r="126" ht="15" customHeight="1">
      <c r="A126" s="601" t="n"/>
      <c r="B126" s="602" t="n"/>
      <c r="C126" s="613" t="n"/>
      <c r="F126" s="602" t="n"/>
      <c r="G126" s="613" t="n"/>
      <c r="H126" s="602" t="n"/>
      <c r="I126" s="32" t="inlineStr">
        <is>
          <t>ディッチ、２</t>
        </is>
      </c>
      <c r="J126" s="42" t="n"/>
      <c r="K126" s="42" t="n"/>
      <c r="L126" s="42" t="n"/>
      <c r="M126" s="42" t="n"/>
      <c r="N126" s="42" t="n"/>
      <c r="O126" s="644" t="n"/>
      <c r="P126" s="577" t="n"/>
      <c r="Q126" s="577" t="n"/>
      <c r="R126" s="578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</row>
    <row r="127" ht="15" customHeight="1">
      <c r="A127" s="593" t="n"/>
      <c r="B127" s="591" t="n"/>
      <c r="C127" s="590" t="n"/>
      <c r="D127" s="598" t="n"/>
      <c r="E127" s="598" t="n"/>
      <c r="F127" s="591" t="n"/>
      <c r="G127" s="590" t="n"/>
      <c r="H127" s="591" t="n"/>
      <c r="I127" s="35" t="inlineStr">
        <is>
          <t>放流</t>
        </is>
      </c>
      <c r="J127" s="44" t="n"/>
      <c r="K127" s="44" t="n"/>
      <c r="L127" s="44" t="n"/>
      <c r="M127" s="44" t="n"/>
      <c r="N127" s="44" t="n"/>
      <c r="O127" s="619" t="n"/>
      <c r="P127" s="608" t="n"/>
      <c r="Q127" s="608" t="n"/>
      <c r="R127" s="60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</row>
    <row r="128" ht="15" customHeight="1">
      <c r="A128" s="579" t="inlineStr">
        <is>
          <t>透視度</t>
        </is>
      </c>
      <c r="B128" s="586" t="n"/>
      <c r="C128" s="586" t="n"/>
      <c r="D128" s="586" t="n"/>
      <c r="E128" s="586" t="n"/>
      <c r="F128" s="587" t="n"/>
      <c r="G128" s="589" t="inlineStr">
        <is>
          <t>ｃｍ</t>
        </is>
      </c>
      <c r="H128" s="587" t="n"/>
      <c r="I128" s="29" t="inlineStr">
        <is>
          <t>流入水</t>
        </is>
      </c>
      <c r="J128" s="808" t="n"/>
      <c r="K128" s="808" t="n"/>
      <c r="L128" s="808" t="n"/>
      <c r="M128" s="808" t="n"/>
      <c r="N128" s="808" t="n"/>
      <c r="O128" s="830" t="n"/>
      <c r="P128" s="577" t="n"/>
      <c r="Q128" s="577" t="n"/>
      <c r="R128" s="641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</row>
    <row r="129" ht="15" customHeight="1">
      <c r="A129" s="593" t="n"/>
      <c r="B129" s="598" t="n"/>
      <c r="C129" s="598" t="n"/>
      <c r="D129" s="598" t="n"/>
      <c r="E129" s="598" t="n"/>
      <c r="F129" s="591" t="n"/>
      <c r="G129" s="590" t="n"/>
      <c r="H129" s="591" t="n"/>
      <c r="I129" s="35" t="inlineStr">
        <is>
          <t>放流水</t>
        </is>
      </c>
      <c r="J129" s="46" t="n"/>
      <c r="K129" s="46" t="n"/>
      <c r="L129" s="46" t="n"/>
      <c r="M129" s="46" t="n"/>
      <c r="N129" s="46" t="n"/>
      <c r="O129" s="657" t="n"/>
      <c r="P129" s="577" t="n"/>
      <c r="Q129" s="577" t="n"/>
      <c r="R129" s="641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</row>
    <row r="130" ht="15" customHeight="1">
      <c r="A130" s="579" t="inlineStr">
        <is>
          <t>臭気</t>
        </is>
      </c>
      <c r="B130" s="587" t="n"/>
      <c r="C130" s="632" t="inlineStr">
        <is>
          <t>腐敗臭</t>
        </is>
      </c>
      <c r="D130" s="586" t="n"/>
      <c r="E130" s="586" t="n"/>
      <c r="F130" s="587" t="n"/>
      <c r="G130" s="589" t="inlineStr">
        <is>
          <t>有無</t>
        </is>
      </c>
      <c r="H130" s="587" t="n"/>
      <c r="I130" s="29" t="inlineStr">
        <is>
          <t>流入</t>
        </is>
      </c>
      <c r="J130" s="48" t="n"/>
      <c r="K130" s="48" t="n"/>
      <c r="L130" s="48" t="n"/>
      <c r="M130" s="48" t="n"/>
      <c r="N130" s="48" t="n"/>
      <c r="O130" s="582" t="n"/>
      <c r="P130" s="583" t="n"/>
      <c r="Q130" s="583" t="n"/>
      <c r="R130" s="584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</row>
    <row r="131" ht="15" customHeight="1">
      <c r="A131" s="601" t="n"/>
      <c r="B131" s="602" t="n"/>
      <c r="C131" s="613" t="n"/>
      <c r="F131" s="602" t="n"/>
      <c r="G131" s="613" t="n"/>
      <c r="H131" s="602" t="n"/>
      <c r="I131" s="32" t="inlineStr">
        <is>
          <t>ディッチ、１</t>
        </is>
      </c>
      <c r="J131" s="50" t="n"/>
      <c r="K131" s="50" t="n"/>
      <c r="L131" s="50" t="n"/>
      <c r="M131" s="50" t="n"/>
      <c r="N131" s="50" t="n"/>
      <c r="O131" s="644" t="n"/>
      <c r="P131" s="577" t="n"/>
      <c r="Q131" s="577" t="n"/>
      <c r="R131" s="578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</row>
    <row r="132" ht="15" customHeight="1">
      <c r="A132" s="601" t="n"/>
      <c r="B132" s="602" t="n"/>
      <c r="C132" s="613" t="n"/>
      <c r="F132" s="602" t="n"/>
      <c r="G132" s="613" t="n"/>
      <c r="H132" s="602" t="n"/>
      <c r="I132" s="32" t="inlineStr">
        <is>
          <t>ディッチ、２</t>
        </is>
      </c>
      <c r="J132" s="50" t="n"/>
      <c r="K132" s="50" t="n"/>
      <c r="L132" s="50" t="n"/>
      <c r="M132" s="50" t="n"/>
      <c r="N132" s="50" t="n"/>
      <c r="O132" s="644" t="n"/>
      <c r="P132" s="577" t="n"/>
      <c r="Q132" s="577" t="n"/>
      <c r="R132" s="578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</row>
    <row r="133" ht="15" customHeight="1">
      <c r="A133" s="593" t="n"/>
      <c r="B133" s="591" t="n"/>
      <c r="C133" s="590" t="n"/>
      <c r="D133" s="598" t="n"/>
      <c r="E133" s="598" t="n"/>
      <c r="F133" s="591" t="n"/>
      <c r="G133" s="590" t="n"/>
      <c r="H133" s="591" t="n"/>
      <c r="I133" s="35" t="inlineStr">
        <is>
          <t>放流</t>
        </is>
      </c>
      <c r="J133" s="46" t="n"/>
      <c r="K133" s="46" t="n"/>
      <c r="L133" s="46" t="n"/>
      <c r="M133" s="46" t="n"/>
      <c r="N133" s="46" t="n"/>
      <c r="O133" s="619" t="n"/>
      <c r="P133" s="608" t="n"/>
      <c r="Q133" s="608" t="n"/>
      <c r="R133" s="60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</row>
    <row r="134" ht="15" customHeight="1">
      <c r="A134" s="579" t="inlineStr">
        <is>
          <t>PH</t>
        </is>
      </c>
      <c r="B134" s="587" t="n"/>
      <c r="C134" s="630" t="n"/>
      <c r="D134" s="586" t="n"/>
      <c r="E134" s="586" t="n"/>
      <c r="F134" s="587" t="n"/>
      <c r="G134" s="589" t="inlineStr">
        <is>
          <t>―</t>
        </is>
      </c>
      <c r="H134" s="587" t="n"/>
      <c r="I134" s="29" t="inlineStr">
        <is>
          <t>流入</t>
        </is>
      </c>
      <c r="J134" s="53" t="n"/>
      <c r="K134" s="53" t="n"/>
      <c r="L134" s="53" t="n"/>
      <c r="M134" s="53" t="n"/>
      <c r="N134" s="53" t="n"/>
      <c r="O134" s="655" t="n"/>
      <c r="P134" s="583" t="n"/>
      <c r="Q134" s="583" t="n"/>
      <c r="R134" s="584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</row>
    <row r="135" ht="15" customHeight="1">
      <c r="A135" s="601" t="n"/>
      <c r="B135" s="602" t="n"/>
      <c r="C135" s="613" t="n"/>
      <c r="F135" s="602" t="n"/>
      <c r="G135" s="613" t="n"/>
      <c r="H135" s="602" t="n"/>
      <c r="I135" s="32" t="inlineStr">
        <is>
          <t>ディッチ、１</t>
        </is>
      </c>
      <c r="J135" s="55" t="n"/>
      <c r="K135" s="55" t="n"/>
      <c r="L135" s="55" t="n"/>
      <c r="M135" s="55" t="n"/>
      <c r="N135" s="55" t="n"/>
      <c r="O135" s="576" t="n"/>
      <c r="P135" s="577" t="n"/>
      <c r="Q135" s="577" t="n"/>
      <c r="R135" s="578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</row>
    <row r="136" ht="15" customHeight="1">
      <c r="A136" s="601" t="n"/>
      <c r="B136" s="602" t="n"/>
      <c r="C136" s="613" t="n"/>
      <c r="F136" s="602" t="n"/>
      <c r="G136" s="613" t="n"/>
      <c r="H136" s="602" t="n"/>
      <c r="I136" s="32" t="inlineStr">
        <is>
          <t>ディッチ、２</t>
        </is>
      </c>
      <c r="J136" s="55" t="n"/>
      <c r="K136" s="55" t="n"/>
      <c r="L136" s="55" t="n"/>
      <c r="M136" s="55" t="n"/>
      <c r="N136" s="55" t="n"/>
      <c r="O136" s="576" t="n"/>
      <c r="P136" s="577" t="n"/>
      <c r="Q136" s="577" t="n"/>
      <c r="R136" s="578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</row>
    <row r="137" ht="15" customHeight="1">
      <c r="A137" s="593" t="n"/>
      <c r="B137" s="591" t="n"/>
      <c r="C137" s="590" t="n"/>
      <c r="D137" s="598" t="n"/>
      <c r="E137" s="598" t="n"/>
      <c r="F137" s="591" t="n"/>
      <c r="G137" s="590" t="n"/>
      <c r="H137" s="591" t="n"/>
      <c r="I137" s="35" t="inlineStr">
        <is>
          <t>放流</t>
        </is>
      </c>
      <c r="J137" s="57" t="n"/>
      <c r="K137" s="57" t="n"/>
      <c r="L137" s="57" t="n"/>
      <c r="M137" s="57" t="n"/>
      <c r="N137" s="57" t="n"/>
      <c r="O137" s="625" t="n"/>
      <c r="P137" s="608" t="n"/>
      <c r="Q137" s="608" t="n"/>
      <c r="R137" s="60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</row>
    <row r="138" ht="15" customHeight="1">
      <c r="A138" s="633" t="inlineStr">
        <is>
          <t>SV</t>
        </is>
      </c>
      <c r="B138" s="587" t="n"/>
      <c r="C138" s="588" t="inlineStr">
        <is>
          <t>SV・30</t>
        </is>
      </c>
      <c r="D138" s="574" t="n"/>
      <c r="E138" s="574" t="n"/>
      <c r="F138" s="580" t="n"/>
      <c r="G138" s="589" t="inlineStr">
        <is>
          <t>％</t>
        </is>
      </c>
      <c r="H138" s="587" t="n"/>
      <c r="I138" s="589" t="inlineStr">
        <is>
          <t>１系</t>
        </is>
      </c>
      <c r="J138" s="48" t="n"/>
      <c r="K138" s="48" t="n"/>
      <c r="L138" s="48" t="n"/>
      <c r="M138" s="48" t="n"/>
      <c r="N138" s="48" t="n"/>
      <c r="O138" s="809" t="n"/>
      <c r="P138" s="583" t="n"/>
      <c r="Q138" s="583" t="n"/>
      <c r="R138" s="584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</row>
    <row r="139" ht="15" customHeight="1">
      <c r="A139" s="593" t="n"/>
      <c r="B139" s="591" t="n"/>
      <c r="C139" s="588" t="inlineStr">
        <is>
          <t>SV・２４ｈ</t>
        </is>
      </c>
      <c r="D139" s="574" t="n"/>
      <c r="E139" s="574" t="n"/>
      <c r="F139" s="580" t="n"/>
      <c r="G139" s="590" t="n"/>
      <c r="H139" s="591" t="n"/>
      <c r="I139" s="626" t="n"/>
      <c r="J139" s="46" t="n"/>
      <c r="K139" s="46" t="n"/>
      <c r="L139" s="46" t="n"/>
      <c r="M139" s="46" t="n"/>
      <c r="N139" s="46" t="n"/>
      <c r="O139" s="815" t="n"/>
      <c r="P139" s="608" t="n"/>
      <c r="Q139" s="608" t="n"/>
      <c r="R139" s="60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</row>
    <row r="140" ht="15" customHeight="1">
      <c r="A140" s="633" t="inlineStr">
        <is>
          <t>SV</t>
        </is>
      </c>
      <c r="B140" s="587" t="n"/>
      <c r="C140" s="588" t="inlineStr">
        <is>
          <t>SV・30</t>
        </is>
      </c>
      <c r="D140" s="574" t="n"/>
      <c r="E140" s="574" t="n"/>
      <c r="F140" s="580" t="n"/>
      <c r="G140" s="589" t="inlineStr">
        <is>
          <t>％</t>
        </is>
      </c>
      <c r="H140" s="587" t="n"/>
      <c r="I140" s="589" t="inlineStr">
        <is>
          <t>２系</t>
        </is>
      </c>
      <c r="J140" s="48" t="n"/>
      <c r="K140" s="48" t="n"/>
      <c r="L140" s="48" t="n"/>
      <c r="M140" s="48" t="n"/>
      <c r="N140" s="48" t="n"/>
      <c r="O140" s="830" t="n"/>
      <c r="P140" s="577" t="n"/>
      <c r="Q140" s="577" t="n"/>
      <c r="R140" s="641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</row>
    <row r="141" ht="15" customHeight="1">
      <c r="A141" s="593" t="n"/>
      <c r="B141" s="591" t="n"/>
      <c r="C141" s="588" t="inlineStr">
        <is>
          <t>SV・２４ｈ</t>
        </is>
      </c>
      <c r="D141" s="574" t="n"/>
      <c r="E141" s="574" t="n"/>
      <c r="F141" s="580" t="n"/>
      <c r="G141" s="590" t="n"/>
      <c r="H141" s="591" t="n"/>
      <c r="I141" s="626" t="n"/>
      <c r="J141" s="46" t="n"/>
      <c r="K141" s="46" t="n"/>
      <c r="L141" s="46" t="n"/>
      <c r="M141" s="46" t="n"/>
      <c r="N141" s="46" t="n"/>
      <c r="O141" s="815" t="n"/>
      <c r="P141" s="608" t="n"/>
      <c r="Q141" s="608" t="n"/>
      <c r="R141" s="60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</row>
    <row r="142" ht="15" customHeight="1">
      <c r="A142" s="592" t="inlineStr">
        <is>
          <t>反応槽</t>
        </is>
      </c>
      <c r="B142" s="587" t="n"/>
      <c r="C142" s="589" t="inlineStr">
        <is>
          <t>MLSS</t>
        </is>
      </c>
      <c r="D142" s="586" t="n"/>
      <c r="E142" s="586" t="n"/>
      <c r="F142" s="587" t="n"/>
      <c r="G142" s="589" t="inlineStr">
        <is>
          <t>㎎/ℓ</t>
        </is>
      </c>
      <c r="H142" s="587" t="n"/>
      <c r="I142" s="58" t="inlineStr">
        <is>
          <t>1系</t>
        </is>
      </c>
      <c r="J142" s="60" t="n"/>
      <c r="K142" s="60" t="n"/>
      <c r="L142" s="60" t="n"/>
      <c r="M142" s="60" t="n"/>
      <c r="N142" s="60" t="n"/>
      <c r="O142" s="818" t="n"/>
      <c r="P142" s="637" t="n"/>
      <c r="Q142" s="637" t="n"/>
      <c r="R142" s="638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</row>
    <row r="143" ht="15" customHeight="1">
      <c r="A143" s="593" t="n"/>
      <c r="B143" s="591" t="n"/>
      <c r="C143" s="590" t="n"/>
      <c r="D143" s="598" t="n"/>
      <c r="E143" s="598" t="n"/>
      <c r="F143" s="591" t="n"/>
      <c r="G143" s="590" t="n"/>
      <c r="H143" s="591" t="n"/>
      <c r="I143" s="61" t="inlineStr">
        <is>
          <t>2系</t>
        </is>
      </c>
      <c r="J143" s="63" t="n"/>
      <c r="K143" s="63" t="n"/>
      <c r="L143" s="63" t="n"/>
      <c r="M143" s="63" t="n"/>
      <c r="N143" s="63" t="n"/>
      <c r="O143" s="819" t="n"/>
      <c r="P143" s="598" t="n"/>
      <c r="Q143" s="598" t="n"/>
      <c r="R143" s="624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</row>
    <row r="144" ht="15" customHeight="1">
      <c r="A144" s="579" t="inlineStr">
        <is>
          <t>汚泥界面</t>
        </is>
      </c>
      <c r="B144" s="586" t="n"/>
      <c r="C144" s="586" t="n"/>
      <c r="D144" s="586" t="n"/>
      <c r="E144" s="586" t="n"/>
      <c r="F144" s="587" t="n"/>
      <c r="G144" s="589" t="inlineStr">
        <is>
          <t>ｃｍ</t>
        </is>
      </c>
      <c r="H144" s="587" t="n"/>
      <c r="I144" s="58" t="inlineStr">
        <is>
          <t>１系終沈</t>
        </is>
      </c>
      <c r="J144" s="60" t="n"/>
      <c r="K144" s="60" t="n"/>
      <c r="L144" s="60" t="n"/>
      <c r="M144" s="60" t="n"/>
      <c r="N144" s="60" t="n"/>
      <c r="O144" s="831" t="n"/>
      <c r="P144" s="637" t="n"/>
      <c r="Q144" s="637" t="n"/>
      <c r="R144" s="653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</row>
    <row r="145" ht="15" customHeight="1">
      <c r="A145" s="593" t="n"/>
      <c r="B145" s="598" t="n"/>
      <c r="C145" s="598" t="n"/>
      <c r="D145" s="598" t="n"/>
      <c r="E145" s="598" t="n"/>
      <c r="F145" s="591" t="n"/>
      <c r="G145" s="590" t="n"/>
      <c r="H145" s="591" t="n"/>
      <c r="I145" s="61" t="inlineStr">
        <is>
          <t>２系終沈</t>
        </is>
      </c>
      <c r="J145" s="63" t="n"/>
      <c r="K145" s="63" t="n"/>
      <c r="L145" s="63" t="n"/>
      <c r="M145" s="63" t="n"/>
      <c r="N145" s="63" t="n"/>
      <c r="O145" s="832" t="n"/>
      <c r="R145" s="602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</row>
    <row r="146" ht="15" customHeight="1">
      <c r="A146" s="579" t="inlineStr">
        <is>
          <t>残留塩素</t>
        </is>
      </c>
      <c r="B146" s="574" t="n"/>
      <c r="C146" s="574" t="n"/>
      <c r="D146" s="574" t="n"/>
      <c r="E146" s="574" t="n"/>
      <c r="F146" s="580" t="n"/>
      <c r="G146" s="589" t="inlineStr">
        <is>
          <t>㎎/ℓ</t>
        </is>
      </c>
      <c r="H146" s="580" t="n"/>
      <c r="I146" s="68" t="inlineStr">
        <is>
          <t>放流水</t>
        </is>
      </c>
      <c r="J146" s="70" t="n"/>
      <c r="K146" s="70" t="n"/>
      <c r="L146" s="70" t="n"/>
      <c r="M146" s="70" t="n"/>
      <c r="N146" s="70" t="n"/>
      <c r="O146" s="809" t="n"/>
      <c r="P146" s="583" t="n"/>
      <c r="Q146" s="583" t="n"/>
      <c r="R146" s="584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</row>
    <row r="147" ht="15" customHeight="1">
      <c r="A147" s="618" t="inlineStr">
        <is>
          <t>塩素投入量</t>
        </is>
      </c>
      <c r="B147" s="574" t="n"/>
      <c r="C147" s="574" t="n"/>
      <c r="D147" s="574" t="n"/>
      <c r="E147" s="574" t="n"/>
      <c r="F147" s="580" t="n"/>
      <c r="G147" s="588" t="inlineStr">
        <is>
          <t>kg</t>
        </is>
      </c>
      <c r="H147" s="580" t="n"/>
      <c r="I147" s="68" t="inlineStr">
        <is>
          <t>塩素混和池</t>
        </is>
      </c>
      <c r="J147" s="70" t="n"/>
      <c r="K147" s="70" t="n"/>
      <c r="L147" s="70" t="n"/>
      <c r="M147" s="70" t="n"/>
      <c r="N147" s="70" t="n"/>
      <c r="O147" s="672" t="n"/>
      <c r="P147" s="583" t="n"/>
      <c r="Q147" s="583" t="n"/>
      <c r="R147" s="584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</row>
    <row r="148" ht="15" customHeight="1">
      <c r="A148" s="635" t="inlineStr">
        <is>
          <t xml:space="preserve">　備　　考</t>
        </is>
      </c>
      <c r="B148" s="586" t="n"/>
      <c r="C148" s="586" t="n"/>
      <c r="D148" s="586" t="n"/>
      <c r="E148" s="586" t="n"/>
      <c r="F148" s="586" t="n"/>
      <c r="G148" s="586" t="n"/>
      <c r="H148" s="586" t="n"/>
      <c r="I148" s="586" t="n"/>
      <c r="J148" s="586" t="n"/>
      <c r="K148" s="586" t="n"/>
      <c r="L148" s="586" t="n"/>
      <c r="M148" s="586" t="n"/>
      <c r="N148" s="586" t="n"/>
      <c r="O148" s="586" t="n"/>
      <c r="P148" s="586" t="n"/>
      <c r="Q148" s="586" t="n"/>
      <c r="R148" s="587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</row>
    <row r="149" ht="15" customHeight="1">
      <c r="A149" s="665" t="n"/>
      <c r="B149" s="666" t="n"/>
      <c r="C149" s="666" t="n"/>
      <c r="D149" s="666" t="n"/>
      <c r="E149" s="666" t="n"/>
      <c r="F149" s="666" t="n"/>
      <c r="G149" s="666" t="n"/>
      <c r="H149" s="666" t="n"/>
      <c r="I149" s="666" t="n"/>
      <c r="J149" s="666" t="n"/>
      <c r="K149" s="666" t="n"/>
      <c r="L149" s="666" t="n"/>
      <c r="M149" s="666" t="n"/>
      <c r="N149" s="666" t="n"/>
      <c r="O149" s="666" t="n"/>
      <c r="P149" s="666" t="n"/>
      <c r="Q149" s="666" t="n"/>
      <c r="R149" s="667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</row>
    <row r="150" ht="15" customHeight="1">
      <c r="A150" s="601" t="n"/>
      <c r="R150" s="668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</row>
    <row r="151" ht="15" customHeight="1">
      <c r="A151" s="601" t="n"/>
      <c r="R151" s="668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</row>
    <row r="152" ht="15" customHeight="1">
      <c r="A152" s="601" t="n"/>
      <c r="R152" s="668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</row>
    <row r="153" ht="15" customHeight="1">
      <c r="A153" s="601" t="n"/>
      <c r="R153" s="668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</row>
    <row r="154" ht="15" customHeight="1">
      <c r="A154" s="601" t="n"/>
      <c r="R154" s="668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</row>
    <row r="155" ht="15" customHeight="1">
      <c r="A155" s="601" t="n"/>
      <c r="R155" s="668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</row>
    <row r="156" ht="15" customHeight="1" thickBot="1">
      <c r="A156" s="669" t="n"/>
      <c r="B156" s="572" t="n"/>
      <c r="C156" s="572" t="n"/>
      <c r="D156" s="572" t="n"/>
      <c r="E156" s="572" t="n"/>
      <c r="F156" s="572" t="n"/>
      <c r="G156" s="572" t="n"/>
      <c r="H156" s="572" t="n"/>
      <c r="I156" s="572" t="n"/>
      <c r="J156" s="572" t="n"/>
      <c r="K156" s="572" t="n"/>
      <c r="L156" s="572" t="n"/>
      <c r="M156" s="572" t="n"/>
      <c r="N156" s="572" t="n"/>
      <c r="O156" s="572" t="n"/>
      <c r="P156" s="572" t="n"/>
      <c r="Q156" s="572" t="n"/>
      <c r="R156" s="670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</row>
    <row r="157" ht="15" customHeight="1">
      <c r="A157" s="570" t="inlineStr">
        <is>
          <t>筒賀水質管理センター　　　維持管理週報</t>
        </is>
      </c>
      <c r="M157" s="820">
        <f>M53</f>
        <v/>
      </c>
      <c r="S157" s="40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</row>
    <row r="158" ht="15" customHeight="1" thickBot="1">
      <c r="A158" s="572" t="n"/>
      <c r="B158" s="572" t="n"/>
      <c r="C158" s="572" t="n"/>
      <c r="D158" s="572" t="n"/>
      <c r="E158" s="572" t="n"/>
      <c r="F158" s="572" t="n"/>
      <c r="G158" s="572" t="n"/>
      <c r="H158" s="572" t="n"/>
      <c r="I158" s="572" t="n"/>
      <c r="J158" s="572" t="n"/>
      <c r="K158" s="572" t="n"/>
      <c r="L158" s="572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</row>
    <row r="159" ht="15" customHeight="1">
      <c r="A159" s="648" t="n"/>
      <c r="B159" s="598" t="n"/>
      <c r="C159" s="598" t="n"/>
      <c r="D159" s="598" t="n"/>
      <c r="E159" s="598" t="n"/>
      <c r="F159" s="598" t="n"/>
      <c r="G159" s="598" t="n"/>
      <c r="H159" s="591" t="n"/>
      <c r="I159" s="833">
        <f>N107</f>
        <v/>
      </c>
      <c r="J159" s="834">
        <f>I159+1</f>
        <v/>
      </c>
      <c r="K159" s="834">
        <f>J159+1</f>
        <v/>
      </c>
      <c r="L159" s="834">
        <f>K159+1</f>
        <v/>
      </c>
      <c r="M159" s="795">
        <f>L159+1</f>
        <v/>
      </c>
      <c r="N159" s="795">
        <f>M159+3</f>
        <v/>
      </c>
      <c r="O159" s="614" t="inlineStr">
        <is>
          <t>平均</t>
        </is>
      </c>
      <c r="P159" s="596" t="n"/>
      <c r="Q159" s="596" t="n"/>
      <c r="R159" s="600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</row>
    <row r="160" ht="15" customHeight="1">
      <c r="A160" s="618" t="inlineStr">
        <is>
          <t>全日電力量</t>
        </is>
      </c>
      <c r="B160" s="574" t="n"/>
      <c r="C160" s="574" t="n"/>
      <c r="D160" s="574" t="n"/>
      <c r="E160" s="574" t="n"/>
      <c r="F160" s="580" t="n"/>
      <c r="G160" s="588" t="inlineStr">
        <is>
          <t>Kｗｈ</t>
        </is>
      </c>
      <c r="H160" s="580" t="n"/>
      <c r="I160" s="835" t="n"/>
      <c r="J160" s="823" t="n"/>
      <c r="K160" s="823" t="n"/>
      <c r="L160" s="823" t="n"/>
      <c r="M160" s="823" t="n"/>
      <c r="N160" s="823" t="n"/>
      <c r="O160" s="836" t="n"/>
      <c r="P160" s="574" t="n"/>
      <c r="Q160" s="574" t="n"/>
      <c r="R160" s="580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</row>
    <row r="161" ht="15" customHeight="1">
      <c r="A161" s="618" t="inlineStr">
        <is>
          <t>力測電力量</t>
        </is>
      </c>
      <c r="B161" s="574" t="n"/>
      <c r="C161" s="574" t="n"/>
      <c r="D161" s="574" t="n"/>
      <c r="E161" s="574" t="n"/>
      <c r="F161" s="580" t="n"/>
      <c r="G161" s="588" t="inlineStr">
        <is>
          <t>Kｗｈ</t>
        </is>
      </c>
      <c r="H161" s="580" t="n"/>
      <c r="I161" s="835" t="n"/>
      <c r="J161" s="823" t="n"/>
      <c r="K161" s="823" t="n"/>
      <c r="L161" s="823" t="n"/>
      <c r="M161" s="823" t="n"/>
      <c r="N161" s="823" t="n"/>
      <c r="O161" s="836" t="n"/>
      <c r="P161" s="574" t="n"/>
      <c r="Q161" s="574" t="n"/>
      <c r="R161" s="580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</row>
    <row r="162" ht="15" customHeight="1">
      <c r="A162" s="618" t="inlineStr">
        <is>
          <t>無効電力量</t>
        </is>
      </c>
      <c r="B162" s="574" t="n"/>
      <c r="C162" s="574" t="n"/>
      <c r="D162" s="574" t="n"/>
      <c r="E162" s="574" t="n"/>
      <c r="F162" s="580" t="n"/>
      <c r="G162" s="588" t="inlineStr">
        <is>
          <t>Kvar</t>
        </is>
      </c>
      <c r="H162" s="580" t="n"/>
      <c r="I162" s="835" t="n"/>
      <c r="J162" s="823" t="n"/>
      <c r="K162" s="823" t="n"/>
      <c r="L162" s="823" t="n"/>
      <c r="M162" s="823" t="n"/>
      <c r="N162" s="823" t="n"/>
      <c r="O162" s="836" t="n"/>
      <c r="P162" s="574" t="n"/>
      <c r="Q162" s="574" t="n"/>
      <c r="R162" s="580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</row>
    <row r="163" ht="15" customHeight="1">
      <c r="A163" s="618" t="inlineStr">
        <is>
          <t>デマンド</t>
        </is>
      </c>
      <c r="B163" s="574" t="n"/>
      <c r="C163" s="574" t="n"/>
      <c r="D163" s="574" t="n"/>
      <c r="E163" s="574" t="n"/>
      <c r="F163" s="580" t="n"/>
      <c r="G163" s="588" t="inlineStr">
        <is>
          <t>Kw</t>
        </is>
      </c>
      <c r="H163" s="580" t="n"/>
      <c r="I163" s="835" t="n"/>
      <c r="J163" s="823" t="n"/>
      <c r="K163" s="823" t="n"/>
      <c r="L163" s="823" t="n"/>
      <c r="M163" s="823" t="n"/>
      <c r="N163" s="823" t="n"/>
      <c r="O163" s="836" t="n"/>
      <c r="P163" s="574" t="n"/>
      <c r="Q163" s="574" t="n"/>
      <c r="R163" s="580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</row>
    <row r="164" ht="15" customHeight="1">
      <c r="A164" s="618" t="inlineStr">
        <is>
          <t>水道使用量</t>
        </is>
      </c>
      <c r="B164" s="574" t="n"/>
      <c r="C164" s="574" t="n"/>
      <c r="D164" s="574" t="n"/>
      <c r="E164" s="574" t="n"/>
      <c r="F164" s="580" t="n"/>
      <c r="G164" s="588" t="inlineStr">
        <is>
          <t>㎥</t>
        </is>
      </c>
      <c r="H164" s="580" t="n"/>
      <c r="I164" s="835" t="n"/>
      <c r="J164" s="823" t="n"/>
      <c r="K164" s="823" t="n"/>
      <c r="L164" s="823" t="n"/>
      <c r="M164" s="823" t="n"/>
      <c r="N164" s="823" t="n"/>
      <c r="O164" s="836" t="n"/>
      <c r="P164" s="574" t="n"/>
      <c r="Q164" s="574" t="n"/>
      <c r="R164" s="580" t="n"/>
      <c r="S164" s="9" t="n"/>
      <c r="T164" s="79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</row>
    <row r="165" ht="15" customHeight="1">
      <c r="A165" s="618" t="inlineStr">
        <is>
          <t>軽油（残量）</t>
        </is>
      </c>
      <c r="B165" s="574" t="n"/>
      <c r="C165" s="574" t="n"/>
      <c r="D165" s="574" t="n"/>
      <c r="E165" s="574" t="n"/>
      <c r="F165" s="580" t="n"/>
      <c r="G165" s="588" t="inlineStr">
        <is>
          <t>ℓ</t>
        </is>
      </c>
      <c r="H165" s="580" t="n"/>
      <c r="I165" s="94" t="n"/>
      <c r="J165" s="86" t="n"/>
      <c r="K165" s="86" t="n"/>
      <c r="L165" s="86" t="n"/>
      <c r="M165" s="86" t="n"/>
      <c r="N165" s="86" t="n"/>
      <c r="O165" s="826" t="n"/>
      <c r="P165" s="574" t="n"/>
      <c r="Q165" s="574" t="n"/>
      <c r="R165" s="580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</row>
    <row r="166" ht="15" customHeight="1">
      <c r="A166" s="616" t="inlineStr">
        <is>
          <t>返送汚泥流量（№1）</t>
        </is>
      </c>
      <c r="B166" s="574" t="n"/>
      <c r="C166" s="574" t="n"/>
      <c r="D166" s="574" t="n"/>
      <c r="E166" s="574" t="n"/>
      <c r="F166" s="580" t="n"/>
      <c r="G166" s="588" t="inlineStr">
        <is>
          <t>㎥</t>
        </is>
      </c>
      <c r="H166" s="580" t="n"/>
      <c r="I166" s="837" t="n"/>
      <c r="J166" s="828" t="n"/>
      <c r="K166" s="828" t="n"/>
      <c r="L166" s="828" t="n"/>
      <c r="M166" s="828" t="n"/>
      <c r="N166" s="828" t="n"/>
      <c r="O166" s="656" t="n"/>
      <c r="P166" s="574" t="n"/>
      <c r="Q166" s="574" t="n"/>
      <c r="R166" s="580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</row>
    <row r="167" ht="15" customHeight="1">
      <c r="A167" s="616" t="inlineStr">
        <is>
          <t>返送汚泥流量（№2）</t>
        </is>
      </c>
      <c r="B167" s="574" t="n"/>
      <c r="C167" s="574" t="n"/>
      <c r="D167" s="574" t="n"/>
      <c r="E167" s="574" t="n"/>
      <c r="F167" s="580" t="n"/>
      <c r="G167" s="588" t="inlineStr">
        <is>
          <t>㎥</t>
        </is>
      </c>
      <c r="H167" s="580" t="n"/>
      <c r="I167" s="837" t="n"/>
      <c r="J167" s="828" t="n"/>
      <c r="K167" s="828" t="n"/>
      <c r="L167" s="828" t="n"/>
      <c r="M167" s="828" t="n"/>
      <c r="N167" s="828" t="n"/>
      <c r="O167" s="656" t="n"/>
      <c r="P167" s="574" t="n"/>
      <c r="Q167" s="574" t="n"/>
      <c r="R167" s="580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</row>
    <row r="168" ht="15" customHeight="1" thickBot="1">
      <c r="A168" s="635" t="inlineStr">
        <is>
          <t>放流流量</t>
        </is>
      </c>
      <c r="B168" s="586" t="n"/>
      <c r="C168" s="586" t="n"/>
      <c r="D168" s="586" t="n"/>
      <c r="E168" s="586" t="n"/>
      <c r="F168" s="587" t="n"/>
      <c r="G168" s="606" t="inlineStr">
        <is>
          <t>㎥</t>
        </is>
      </c>
      <c r="H168" s="587" t="n"/>
      <c r="I168" s="838" t="n"/>
      <c r="J168" s="828" t="n"/>
      <c r="K168" s="839" t="n"/>
      <c r="L168" s="839" t="n"/>
      <c r="M168" s="839" t="n"/>
      <c r="N168" s="839" t="n"/>
      <c r="O168" s="656" t="n"/>
      <c r="P168" s="574" t="n"/>
      <c r="Q168" s="574" t="n"/>
      <c r="R168" s="580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</row>
    <row r="169" ht="45" customHeight="1" thickBot="1">
      <c r="A169" s="649" t="inlineStr">
        <is>
          <t>日 常 水 質 測 定 結 果</t>
        </is>
      </c>
      <c r="B169" s="650" t="n"/>
      <c r="C169" s="650" t="n"/>
      <c r="D169" s="650" t="n"/>
      <c r="E169" s="650" t="n"/>
      <c r="F169" s="650" t="n"/>
      <c r="G169" s="650" t="n"/>
      <c r="H169" s="650" t="n"/>
      <c r="I169" s="650" t="n"/>
      <c r="J169" s="650" t="n"/>
      <c r="K169" s="650" t="n"/>
      <c r="L169" s="650" t="n"/>
      <c r="M169" s="650" t="n"/>
      <c r="N169" s="650" t="n"/>
      <c r="O169" s="650" t="n"/>
      <c r="P169" s="650" t="n"/>
      <c r="Q169" s="650" t="n"/>
      <c r="R169" s="651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</row>
    <row r="170" ht="15" customHeight="1">
      <c r="A170" s="631" t="inlineStr">
        <is>
          <t>測 定 項 目</t>
        </is>
      </c>
      <c r="H170" s="602" t="n"/>
      <c r="I170" s="61" t="inlineStr">
        <is>
          <t>測定場所</t>
        </is>
      </c>
      <c r="J170" s="840">
        <f>I159</f>
        <v/>
      </c>
      <c r="K170" s="829">
        <f>J159</f>
        <v/>
      </c>
      <c r="L170" s="829">
        <f>K159</f>
        <v/>
      </c>
      <c r="M170" s="829">
        <f>L159</f>
        <v/>
      </c>
      <c r="N170" s="829">
        <f>M159</f>
        <v/>
      </c>
      <c r="O170" s="627">
        <f>O159</f>
        <v/>
      </c>
      <c r="R170" s="602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</row>
    <row r="171" ht="15" customHeight="1">
      <c r="A171" s="593" t="n"/>
      <c r="B171" s="598" t="n"/>
      <c r="C171" s="598" t="n"/>
      <c r="D171" s="598" t="n"/>
      <c r="E171" s="598" t="n"/>
      <c r="F171" s="598" t="n"/>
      <c r="G171" s="598" t="n"/>
      <c r="H171" s="591" t="n"/>
      <c r="I171" s="615" t="inlineStr">
        <is>
          <t>測定者</t>
        </is>
      </c>
      <c r="J171" s="26" t="inlineStr">
        <is>
          <t>山根　悠貴</t>
        </is>
      </c>
      <c r="K171" s="27" t="inlineStr">
        <is>
          <t>山根　悠貴</t>
        </is>
      </c>
      <c r="L171" s="27" t="inlineStr">
        <is>
          <t>山根　悠貴</t>
        </is>
      </c>
      <c r="M171" s="27" t="inlineStr">
        <is>
          <t>山根　悠貴</t>
        </is>
      </c>
      <c r="N171" s="27" t="inlineStr">
        <is>
          <t>山根　悠貴</t>
        </is>
      </c>
      <c r="O171" s="590" t="n"/>
      <c r="P171" s="598" t="n"/>
      <c r="Q171" s="598" t="n"/>
      <c r="R171" s="591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</row>
    <row r="172" ht="15" customHeight="1">
      <c r="A172" s="579" t="inlineStr">
        <is>
          <t xml:space="preserve">水温　　　　　</t>
        </is>
      </c>
      <c r="B172" s="586" t="n"/>
      <c r="C172" s="586" t="n"/>
      <c r="D172" s="586" t="n"/>
      <c r="E172" s="586" t="n"/>
      <c r="F172" s="587" t="n"/>
      <c r="G172" s="589" t="inlineStr">
        <is>
          <t>℃</t>
        </is>
      </c>
      <c r="H172" s="587" t="n"/>
      <c r="I172" s="29" t="inlineStr">
        <is>
          <t>流入</t>
        </is>
      </c>
      <c r="J172" s="807" t="n"/>
      <c r="K172" s="808" t="n"/>
      <c r="L172" s="808" t="n"/>
      <c r="M172" s="808" t="n"/>
      <c r="N172" s="808" t="n"/>
      <c r="O172" s="841" t="n"/>
      <c r="P172" s="586" t="n"/>
      <c r="Q172" s="586" t="n"/>
      <c r="R172" s="587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</row>
    <row r="173" ht="15" customHeight="1">
      <c r="A173" s="601" t="n"/>
      <c r="F173" s="602" t="n"/>
      <c r="G173" s="613" t="n"/>
      <c r="H173" s="602" t="n"/>
      <c r="I173" s="32" t="inlineStr">
        <is>
          <t>ディッチ、１</t>
        </is>
      </c>
      <c r="J173" s="810" t="n"/>
      <c r="K173" s="811" t="n"/>
      <c r="L173" s="811" t="n"/>
      <c r="M173" s="811" t="n"/>
      <c r="N173" s="811" t="n"/>
      <c r="O173" s="812" t="n"/>
      <c r="P173" s="577" t="n"/>
      <c r="Q173" s="577" t="n"/>
      <c r="R173" s="578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</row>
    <row r="174" ht="15" customHeight="1">
      <c r="A174" s="601" t="n"/>
      <c r="F174" s="602" t="n"/>
      <c r="G174" s="613" t="n"/>
      <c r="H174" s="602" t="n"/>
      <c r="I174" s="32" t="inlineStr">
        <is>
          <t>ディッチ、２</t>
        </is>
      </c>
      <c r="J174" s="810" t="n"/>
      <c r="K174" s="811" t="n"/>
      <c r="L174" s="811" t="n"/>
      <c r="M174" s="811" t="n"/>
      <c r="N174" s="811" t="n"/>
      <c r="O174" s="812" t="n"/>
      <c r="P174" s="577" t="n"/>
      <c r="Q174" s="577" t="n"/>
      <c r="R174" s="578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</row>
    <row r="175" ht="15" customHeight="1">
      <c r="A175" s="593" t="n"/>
      <c r="B175" s="598" t="n"/>
      <c r="C175" s="598" t="n"/>
      <c r="D175" s="598" t="n"/>
      <c r="E175" s="598" t="n"/>
      <c r="F175" s="591" t="n"/>
      <c r="G175" s="590" t="n"/>
      <c r="H175" s="591" t="n"/>
      <c r="I175" s="35" t="inlineStr">
        <is>
          <t>放流</t>
        </is>
      </c>
      <c r="J175" s="842" t="n"/>
      <c r="K175" s="843" t="n"/>
      <c r="L175" s="843" t="n"/>
      <c r="M175" s="843" t="n"/>
      <c r="N175" s="843" t="n"/>
      <c r="O175" s="815" t="n"/>
      <c r="P175" s="608" t="n"/>
      <c r="Q175" s="608" t="n"/>
      <c r="R175" s="60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</row>
    <row r="176" ht="15" customHeight="1">
      <c r="A176" s="579" t="inlineStr">
        <is>
          <t>外観</t>
        </is>
      </c>
      <c r="B176" s="587" t="n"/>
      <c r="C176" s="628" t="inlineStr">
        <is>
          <t>油膜・色合</t>
        </is>
      </c>
      <c r="D176" s="586" t="n"/>
      <c r="E176" s="586" t="n"/>
      <c r="F176" s="587" t="n"/>
      <c r="G176" s="589" t="inlineStr">
        <is>
          <t>有無</t>
        </is>
      </c>
      <c r="H176" s="587" t="n"/>
      <c r="I176" s="29" t="inlineStr">
        <is>
          <t>流入</t>
        </is>
      </c>
      <c r="J176" s="101" t="n"/>
      <c r="K176" s="102" t="n"/>
      <c r="L176" s="102" t="n"/>
      <c r="M176" s="102" t="n"/>
      <c r="N176" s="102" t="n"/>
      <c r="O176" s="606" t="n"/>
      <c r="P176" s="586" t="n"/>
      <c r="Q176" s="586" t="n"/>
      <c r="R176" s="587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</row>
    <row r="177" ht="15" customHeight="1">
      <c r="A177" s="601" t="n"/>
      <c r="B177" s="602" t="n"/>
      <c r="C177" s="613" t="n"/>
      <c r="F177" s="602" t="n"/>
      <c r="G177" s="613" t="n"/>
      <c r="H177" s="602" t="n"/>
      <c r="I177" s="32" t="inlineStr">
        <is>
          <t>ディッチ、１</t>
        </is>
      </c>
      <c r="J177" s="103" t="n"/>
      <c r="K177" s="104" t="n"/>
      <c r="L177" s="104" t="n"/>
      <c r="M177" s="104" t="n"/>
      <c r="N177" s="104" t="n"/>
      <c r="O177" s="640" t="n"/>
      <c r="P177" s="577" t="n"/>
      <c r="Q177" s="577" t="n"/>
      <c r="R177" s="641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</row>
    <row r="178" ht="15" customHeight="1">
      <c r="A178" s="601" t="n"/>
      <c r="B178" s="602" t="n"/>
      <c r="C178" s="613" t="n"/>
      <c r="F178" s="602" t="n"/>
      <c r="G178" s="613" t="n"/>
      <c r="H178" s="602" t="n"/>
      <c r="I178" s="32" t="inlineStr">
        <is>
          <t>ディッチ、２</t>
        </is>
      </c>
      <c r="J178" s="103" t="n"/>
      <c r="K178" s="104" t="n"/>
      <c r="L178" s="104" t="n"/>
      <c r="M178" s="104" t="n"/>
      <c r="N178" s="104" t="n"/>
      <c r="O178" s="640" t="n"/>
      <c r="P178" s="577" t="n"/>
      <c r="Q178" s="577" t="n"/>
      <c r="R178" s="641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</row>
    <row r="179" ht="15" customHeight="1">
      <c r="A179" s="593" t="n"/>
      <c r="B179" s="591" t="n"/>
      <c r="C179" s="590" t="n"/>
      <c r="D179" s="598" t="n"/>
      <c r="E179" s="598" t="n"/>
      <c r="F179" s="591" t="n"/>
      <c r="G179" s="590" t="n"/>
      <c r="H179" s="591" t="n"/>
      <c r="I179" s="35" t="inlineStr">
        <is>
          <t>放流</t>
        </is>
      </c>
      <c r="J179" s="105" t="n"/>
      <c r="K179" s="106" t="n"/>
      <c r="L179" s="106" t="n"/>
      <c r="M179" s="106" t="n"/>
      <c r="N179" s="106" t="n"/>
      <c r="O179" s="646" t="n"/>
      <c r="P179" s="598" t="n"/>
      <c r="Q179" s="598" t="n"/>
      <c r="R179" s="591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</row>
    <row r="180" ht="15" customHeight="1">
      <c r="A180" s="579" t="inlineStr">
        <is>
          <t>透視度</t>
        </is>
      </c>
      <c r="B180" s="586" t="n"/>
      <c r="C180" s="586" t="n"/>
      <c r="D180" s="586" t="n"/>
      <c r="E180" s="586" t="n"/>
      <c r="F180" s="587" t="n"/>
      <c r="G180" s="589" t="inlineStr">
        <is>
          <t>ｃｍ</t>
        </is>
      </c>
      <c r="H180" s="587" t="n"/>
      <c r="I180" s="29" t="inlineStr">
        <is>
          <t>流入水</t>
        </is>
      </c>
      <c r="J180" s="844" t="n"/>
      <c r="K180" s="845" t="n"/>
      <c r="L180" s="845" t="n"/>
      <c r="M180" s="845" t="n"/>
      <c r="N180" s="845" t="n"/>
      <c r="O180" s="830" t="n"/>
      <c r="P180" s="577" t="n"/>
      <c r="Q180" s="577" t="n"/>
      <c r="R180" s="641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</row>
    <row r="181" ht="15" customHeight="1">
      <c r="A181" s="593" t="n"/>
      <c r="B181" s="598" t="n"/>
      <c r="C181" s="598" t="n"/>
      <c r="D181" s="598" t="n"/>
      <c r="E181" s="598" t="n"/>
      <c r="F181" s="591" t="n"/>
      <c r="G181" s="590" t="n"/>
      <c r="H181" s="591" t="n"/>
      <c r="I181" s="35" t="inlineStr">
        <is>
          <t>放流水</t>
        </is>
      </c>
      <c r="J181" s="109" t="n"/>
      <c r="K181" s="110" t="n"/>
      <c r="L181" s="110" t="n"/>
      <c r="M181" s="110" t="n"/>
      <c r="N181" s="110" t="n"/>
      <c r="O181" s="657" t="n"/>
      <c r="P181" s="577" t="n"/>
      <c r="Q181" s="577" t="n"/>
      <c r="R181" s="641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</row>
    <row r="182" ht="15" customHeight="1">
      <c r="A182" s="579" t="inlineStr">
        <is>
          <t>臭気</t>
        </is>
      </c>
      <c r="B182" s="587" t="n"/>
      <c r="C182" s="632" t="inlineStr">
        <is>
          <t>腐敗臭</t>
        </is>
      </c>
      <c r="D182" s="586" t="n"/>
      <c r="E182" s="586" t="n"/>
      <c r="F182" s="587" t="n"/>
      <c r="G182" s="589" t="inlineStr">
        <is>
          <t>有無</t>
        </is>
      </c>
      <c r="H182" s="587" t="n"/>
      <c r="I182" s="29" t="inlineStr">
        <is>
          <t>流入</t>
        </is>
      </c>
      <c r="J182" s="101" t="n"/>
      <c r="K182" s="102" t="n"/>
      <c r="L182" s="102" t="n"/>
      <c r="M182" s="102" t="n"/>
      <c r="N182" s="102" t="n"/>
      <c r="O182" s="606" t="n"/>
      <c r="P182" s="586" t="n"/>
      <c r="Q182" s="586" t="n"/>
      <c r="R182" s="587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</row>
    <row r="183" ht="15" customHeight="1">
      <c r="A183" s="601" t="n"/>
      <c r="B183" s="602" t="n"/>
      <c r="C183" s="613" t="n"/>
      <c r="F183" s="602" t="n"/>
      <c r="G183" s="613" t="n"/>
      <c r="H183" s="602" t="n"/>
      <c r="I183" s="32" t="inlineStr">
        <is>
          <t>ディッチ、１</t>
        </is>
      </c>
      <c r="J183" s="111" t="n"/>
      <c r="K183" s="112" t="n"/>
      <c r="L183" s="112" t="n"/>
      <c r="M183" s="112" t="n"/>
      <c r="N183" s="112" t="n"/>
      <c r="O183" s="640" t="n"/>
      <c r="P183" s="577" t="n"/>
      <c r="Q183" s="577" t="n"/>
      <c r="R183" s="641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</row>
    <row r="184" ht="15" customHeight="1">
      <c r="A184" s="601" t="n"/>
      <c r="B184" s="602" t="n"/>
      <c r="C184" s="613" t="n"/>
      <c r="F184" s="602" t="n"/>
      <c r="G184" s="613" t="n"/>
      <c r="H184" s="602" t="n"/>
      <c r="I184" s="32" t="inlineStr">
        <is>
          <t>ディッチ、２</t>
        </is>
      </c>
      <c r="J184" s="113" t="n"/>
      <c r="K184" s="114" t="n"/>
      <c r="L184" s="114" t="n"/>
      <c r="M184" s="114" t="n"/>
      <c r="N184" s="114" t="n"/>
      <c r="O184" s="640" t="n"/>
      <c r="P184" s="577" t="n"/>
      <c r="Q184" s="577" t="n"/>
      <c r="R184" s="641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</row>
    <row r="185" ht="15" customHeight="1">
      <c r="A185" s="593" t="n"/>
      <c r="B185" s="591" t="n"/>
      <c r="C185" s="590" t="n"/>
      <c r="D185" s="598" t="n"/>
      <c r="E185" s="598" t="n"/>
      <c r="F185" s="591" t="n"/>
      <c r="G185" s="590" t="n"/>
      <c r="H185" s="591" t="n"/>
      <c r="I185" s="35" t="inlineStr">
        <is>
          <t>放流</t>
        </is>
      </c>
      <c r="J185" s="109" t="n"/>
      <c r="K185" s="110" t="n"/>
      <c r="L185" s="110" t="n"/>
      <c r="M185" s="110" t="n"/>
      <c r="N185" s="110" t="n"/>
      <c r="O185" s="646" t="n"/>
      <c r="P185" s="598" t="n"/>
      <c r="Q185" s="598" t="n"/>
      <c r="R185" s="591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</row>
    <row r="186" ht="15" customHeight="1">
      <c r="A186" s="579" t="inlineStr">
        <is>
          <t>PH</t>
        </is>
      </c>
      <c r="B186" s="587" t="n"/>
      <c r="C186" s="630" t="n"/>
      <c r="D186" s="586" t="n"/>
      <c r="E186" s="586" t="n"/>
      <c r="F186" s="587" t="n"/>
      <c r="G186" s="589" t="inlineStr">
        <is>
          <t>―</t>
        </is>
      </c>
      <c r="H186" s="587" t="n"/>
      <c r="I186" s="29" t="inlineStr">
        <is>
          <t>流入</t>
        </is>
      </c>
      <c r="J186" s="115" t="n"/>
      <c r="K186" s="116" t="n"/>
      <c r="L186" s="116" t="n"/>
      <c r="M186" s="116" t="n"/>
      <c r="N186" s="116" t="n"/>
      <c r="O186" s="675" t="n"/>
      <c r="P186" s="586" t="n"/>
      <c r="Q186" s="586" t="n"/>
      <c r="R186" s="587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</row>
    <row r="187" ht="15" customHeight="1">
      <c r="A187" s="601" t="n"/>
      <c r="B187" s="602" t="n"/>
      <c r="C187" s="613" t="n"/>
      <c r="F187" s="602" t="n"/>
      <c r="G187" s="613" t="n"/>
      <c r="H187" s="602" t="n"/>
      <c r="I187" s="32" t="inlineStr">
        <is>
          <t>ディッチ、１</t>
        </is>
      </c>
      <c r="J187" s="117" t="n"/>
      <c r="K187" s="118" t="n"/>
      <c r="L187" s="118" t="n"/>
      <c r="M187" s="118" t="n"/>
      <c r="N187" s="118" t="n"/>
      <c r="O187" s="673" t="n"/>
      <c r="P187" s="577" t="n"/>
      <c r="Q187" s="577" t="n"/>
      <c r="R187" s="641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</row>
    <row r="188" ht="15" customHeight="1">
      <c r="A188" s="601" t="n"/>
      <c r="B188" s="602" t="n"/>
      <c r="C188" s="613" t="n"/>
      <c r="F188" s="602" t="n"/>
      <c r="G188" s="613" t="n"/>
      <c r="H188" s="602" t="n"/>
      <c r="I188" s="32" t="inlineStr">
        <is>
          <t>ディッチ、２</t>
        </is>
      </c>
      <c r="J188" s="117" t="n"/>
      <c r="K188" s="118" t="n"/>
      <c r="L188" s="118" t="n"/>
      <c r="M188" s="118" t="n"/>
      <c r="N188" s="118" t="n"/>
      <c r="O188" s="673" t="n"/>
      <c r="P188" s="577" t="n"/>
      <c r="Q188" s="577" t="n"/>
      <c r="R188" s="641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</row>
    <row r="189" ht="15" customHeight="1">
      <c r="A189" s="593" t="n"/>
      <c r="B189" s="591" t="n"/>
      <c r="C189" s="590" t="n"/>
      <c r="D189" s="598" t="n"/>
      <c r="E189" s="598" t="n"/>
      <c r="F189" s="591" t="n"/>
      <c r="G189" s="590" t="n"/>
      <c r="H189" s="591" t="n"/>
      <c r="I189" s="35" t="inlineStr">
        <is>
          <t>放流</t>
        </is>
      </c>
      <c r="J189" s="119" t="n"/>
      <c r="K189" s="120" t="n"/>
      <c r="L189" s="120" t="n"/>
      <c r="M189" s="120" t="n"/>
      <c r="N189" s="120" t="n"/>
      <c r="O189" s="674" t="n"/>
      <c r="P189" s="598" t="n"/>
      <c r="Q189" s="598" t="n"/>
      <c r="R189" s="591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</row>
    <row r="190" ht="15" customHeight="1">
      <c r="A190" s="633" t="inlineStr">
        <is>
          <t>SV</t>
        </is>
      </c>
      <c r="B190" s="587" t="n"/>
      <c r="C190" s="588" t="inlineStr">
        <is>
          <t>SV・30</t>
        </is>
      </c>
      <c r="D190" s="574" t="n"/>
      <c r="E190" s="574" t="n"/>
      <c r="F190" s="580" t="n"/>
      <c r="G190" s="589" t="inlineStr">
        <is>
          <t>％</t>
        </is>
      </c>
      <c r="H190" s="587" t="n"/>
      <c r="I190" s="589" t="inlineStr">
        <is>
          <t>１系</t>
        </is>
      </c>
      <c r="J190" s="111" t="n"/>
      <c r="K190" s="112" t="n"/>
      <c r="L190" s="112" t="n"/>
      <c r="M190" s="112" t="n"/>
      <c r="N190" s="112" t="n"/>
      <c r="O190" s="830" t="n"/>
      <c r="P190" s="577" t="n"/>
      <c r="Q190" s="577" t="n"/>
      <c r="R190" s="641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</row>
    <row r="191" ht="15" customHeight="1">
      <c r="A191" s="593" t="n"/>
      <c r="B191" s="591" t="n"/>
      <c r="C191" s="588" t="inlineStr">
        <is>
          <t>SV・２４ｈ</t>
        </is>
      </c>
      <c r="D191" s="574" t="n"/>
      <c r="E191" s="574" t="n"/>
      <c r="F191" s="580" t="n"/>
      <c r="G191" s="590" t="n"/>
      <c r="H191" s="591" t="n"/>
      <c r="I191" s="626" t="n"/>
      <c r="J191" s="62" t="n"/>
      <c r="K191" s="63" t="n"/>
      <c r="L191" s="63" t="n"/>
      <c r="M191" s="63" t="n"/>
      <c r="N191" s="63" t="n"/>
      <c r="O191" s="815" t="n"/>
      <c r="P191" s="608" t="n"/>
      <c r="Q191" s="608" t="n"/>
      <c r="R191" s="60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</row>
    <row r="192" ht="15" customHeight="1">
      <c r="A192" s="633" t="inlineStr">
        <is>
          <t>SV</t>
        </is>
      </c>
      <c r="B192" s="587" t="n"/>
      <c r="C192" s="588" t="inlineStr">
        <is>
          <t>SV・30</t>
        </is>
      </c>
      <c r="D192" s="574" t="n"/>
      <c r="E192" s="574" t="n"/>
      <c r="F192" s="580" t="n"/>
      <c r="G192" s="589" t="inlineStr">
        <is>
          <t>％</t>
        </is>
      </c>
      <c r="H192" s="587" t="n"/>
      <c r="I192" s="589" t="inlineStr">
        <is>
          <t>２系</t>
        </is>
      </c>
      <c r="J192" s="111" t="n"/>
      <c r="K192" s="112" t="n"/>
      <c r="L192" s="112" t="n"/>
      <c r="M192" s="112" t="n"/>
      <c r="N192" s="112" t="n"/>
      <c r="O192" s="830" t="n"/>
      <c r="P192" s="577" t="n"/>
      <c r="Q192" s="577" t="n"/>
      <c r="R192" s="641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</row>
    <row r="193" ht="15" customHeight="1">
      <c r="A193" s="593" t="n"/>
      <c r="B193" s="591" t="n"/>
      <c r="C193" s="588" t="inlineStr">
        <is>
          <t>SV・２４ｈ</t>
        </is>
      </c>
      <c r="D193" s="574" t="n"/>
      <c r="E193" s="574" t="n"/>
      <c r="F193" s="580" t="n"/>
      <c r="G193" s="590" t="n"/>
      <c r="H193" s="591" t="n"/>
      <c r="I193" s="626" t="n"/>
      <c r="J193" s="62" t="n"/>
      <c r="K193" s="63" t="n"/>
      <c r="L193" s="63" t="n"/>
      <c r="M193" s="63" t="n"/>
      <c r="N193" s="63" t="n"/>
      <c r="O193" s="815" t="n"/>
      <c r="P193" s="608" t="n"/>
      <c r="Q193" s="608" t="n"/>
      <c r="R193" s="60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</row>
    <row r="194" ht="15" customHeight="1">
      <c r="A194" s="592" t="inlineStr">
        <is>
          <t>反応槽</t>
        </is>
      </c>
      <c r="B194" s="587" t="n"/>
      <c r="C194" s="589" t="inlineStr">
        <is>
          <t>MLSS</t>
        </is>
      </c>
      <c r="D194" s="586" t="n"/>
      <c r="E194" s="586" t="n"/>
      <c r="F194" s="587" t="n"/>
      <c r="G194" s="589" t="inlineStr">
        <is>
          <t>㎎/ℓ</t>
        </is>
      </c>
      <c r="H194" s="587" t="n"/>
      <c r="I194" s="58" t="inlineStr">
        <is>
          <t>1系</t>
        </is>
      </c>
      <c r="J194" s="59" t="n"/>
      <c r="K194" s="60" t="n"/>
      <c r="L194" s="60" t="n"/>
      <c r="M194" s="60" t="n"/>
      <c r="N194" s="60" t="n"/>
      <c r="O194" s="818" t="n"/>
      <c r="P194" s="637" t="n"/>
      <c r="Q194" s="637" t="n"/>
      <c r="R194" s="638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</row>
    <row r="195" ht="15" customHeight="1">
      <c r="A195" s="593" t="n"/>
      <c r="B195" s="591" t="n"/>
      <c r="C195" s="590" t="n"/>
      <c r="D195" s="598" t="n"/>
      <c r="E195" s="598" t="n"/>
      <c r="F195" s="591" t="n"/>
      <c r="G195" s="590" t="n"/>
      <c r="H195" s="591" t="n"/>
      <c r="I195" s="61" t="inlineStr">
        <is>
          <t>2系</t>
        </is>
      </c>
      <c r="J195" s="62" t="n"/>
      <c r="K195" s="63" t="n"/>
      <c r="L195" s="63" t="n"/>
      <c r="M195" s="63" t="n"/>
      <c r="N195" s="63" t="n"/>
      <c r="O195" s="819" t="n"/>
      <c r="P195" s="598" t="n"/>
      <c r="Q195" s="598" t="n"/>
      <c r="R195" s="624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</row>
    <row r="196" ht="15" customHeight="1">
      <c r="A196" s="579" t="inlineStr">
        <is>
          <t>汚泥界面</t>
        </is>
      </c>
      <c r="B196" s="586" t="n"/>
      <c r="C196" s="586" t="n"/>
      <c r="D196" s="586" t="n"/>
      <c r="E196" s="586" t="n"/>
      <c r="F196" s="587" t="n"/>
      <c r="G196" s="589" t="inlineStr">
        <is>
          <t>ｃｍ</t>
        </is>
      </c>
      <c r="H196" s="587" t="n"/>
      <c r="I196" s="58" t="inlineStr">
        <is>
          <t>１系終沈</t>
        </is>
      </c>
      <c r="J196" s="121" t="n"/>
      <c r="K196" s="122" t="n"/>
      <c r="L196" s="122" t="n"/>
      <c r="M196" s="122" t="n"/>
      <c r="N196" s="122" t="n"/>
      <c r="O196" s="831" t="n"/>
      <c r="P196" s="637" t="n"/>
      <c r="Q196" s="637" t="n"/>
      <c r="R196" s="653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</row>
    <row r="197" ht="15" customHeight="1">
      <c r="A197" s="593" t="n"/>
      <c r="B197" s="598" t="n"/>
      <c r="C197" s="598" t="n"/>
      <c r="D197" s="598" t="n"/>
      <c r="E197" s="598" t="n"/>
      <c r="F197" s="591" t="n"/>
      <c r="G197" s="590" t="n"/>
      <c r="H197" s="591" t="n"/>
      <c r="I197" s="61" t="inlineStr">
        <is>
          <t>２系終沈</t>
        </is>
      </c>
      <c r="J197" s="123" t="n"/>
      <c r="K197" s="124" t="n"/>
      <c r="L197" s="124" t="n"/>
      <c r="M197" s="124" t="n"/>
      <c r="N197" s="124" t="n"/>
      <c r="O197" s="846" t="n"/>
      <c r="P197" s="598" t="n"/>
      <c r="Q197" s="598" t="n"/>
      <c r="R197" s="591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</row>
    <row r="198" ht="15" customHeight="1">
      <c r="A198" s="579" t="inlineStr">
        <is>
          <t>残留塩素</t>
        </is>
      </c>
      <c r="B198" s="574" t="n"/>
      <c r="C198" s="574" t="n"/>
      <c r="D198" s="574" t="n"/>
      <c r="E198" s="574" t="n"/>
      <c r="F198" s="580" t="n"/>
      <c r="G198" s="589" t="inlineStr">
        <is>
          <t>㎎/ℓ</t>
        </is>
      </c>
      <c r="H198" s="580" t="n"/>
      <c r="I198" s="68" t="inlineStr">
        <is>
          <t>放流水</t>
        </is>
      </c>
      <c r="J198" s="125" t="n"/>
      <c r="K198" s="126" t="n"/>
      <c r="L198" s="126" t="n"/>
      <c r="M198" s="126" t="n"/>
      <c r="N198" s="126" t="n"/>
      <c r="O198" s="841" t="n"/>
      <c r="P198" s="586" t="n"/>
      <c r="Q198" s="586" t="n"/>
      <c r="R198" s="587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</row>
    <row r="199" ht="15" customHeight="1">
      <c r="A199" s="618" t="inlineStr">
        <is>
          <t>塩素投入量</t>
        </is>
      </c>
      <c r="B199" s="574" t="n"/>
      <c r="C199" s="574" t="n"/>
      <c r="D199" s="574" t="n"/>
      <c r="E199" s="574" t="n"/>
      <c r="F199" s="580" t="n"/>
      <c r="G199" s="588" t="inlineStr">
        <is>
          <t>kg</t>
        </is>
      </c>
      <c r="H199" s="580" t="n"/>
      <c r="I199" s="68" t="inlineStr">
        <is>
          <t>塩素混和池</t>
        </is>
      </c>
      <c r="J199" s="125" t="n"/>
      <c r="K199" s="126" t="n"/>
      <c r="L199" s="126" t="n"/>
      <c r="M199" s="126" t="n"/>
      <c r="N199" s="126" t="n"/>
      <c r="O199" s="585" t="n"/>
      <c r="P199" s="586" t="n"/>
      <c r="Q199" s="586" t="n"/>
      <c r="R199" s="587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</row>
    <row r="200" ht="15" customHeight="1">
      <c r="A200" s="635" t="inlineStr">
        <is>
          <t xml:space="preserve">　備　　考</t>
        </is>
      </c>
      <c r="B200" s="586" t="n"/>
      <c r="C200" s="586" t="n"/>
      <c r="D200" s="586" t="n"/>
      <c r="E200" s="586" t="n"/>
      <c r="F200" s="586" t="n"/>
      <c r="G200" s="586" t="n"/>
      <c r="H200" s="586" t="n"/>
      <c r="I200" s="586" t="n"/>
      <c r="J200" s="586" t="n"/>
      <c r="K200" s="586" t="n"/>
      <c r="L200" s="586" t="n"/>
      <c r="M200" s="586" t="n"/>
      <c r="N200" s="586" t="n"/>
      <c r="O200" s="586" t="n"/>
      <c r="P200" s="586" t="n"/>
      <c r="Q200" s="586" t="n"/>
      <c r="R200" s="587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</row>
    <row r="201" ht="15" customHeight="1">
      <c r="A201" s="665" t="n"/>
      <c r="B201" s="666" t="n"/>
      <c r="C201" s="666" t="n"/>
      <c r="D201" s="666" t="n"/>
      <c r="E201" s="666" t="n"/>
      <c r="F201" s="666" t="n"/>
      <c r="G201" s="666" t="n"/>
      <c r="H201" s="666" t="n"/>
      <c r="I201" s="666" t="n"/>
      <c r="J201" s="666" t="n"/>
      <c r="K201" s="666" t="n"/>
      <c r="L201" s="666" t="n"/>
      <c r="M201" s="666" t="n"/>
      <c r="N201" s="666" t="n"/>
      <c r="O201" s="666" t="n"/>
      <c r="P201" s="666" t="n"/>
      <c r="Q201" s="666" t="n"/>
      <c r="R201" s="667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</row>
    <row r="202" ht="15" customHeight="1">
      <c r="A202" s="601" t="n"/>
      <c r="R202" s="668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</row>
    <row r="203" ht="15" customHeight="1">
      <c r="A203" s="601" t="n"/>
      <c r="R203" s="668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</row>
    <row r="204" ht="15" customHeight="1">
      <c r="A204" s="601" t="n"/>
      <c r="R204" s="668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</row>
    <row r="205" ht="15" customHeight="1">
      <c r="A205" s="601" t="n"/>
      <c r="R205" s="668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</row>
    <row r="206" ht="15" customHeight="1">
      <c r="A206" s="601" t="n"/>
      <c r="R206" s="668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</row>
    <row r="207" ht="15" customHeight="1">
      <c r="A207" s="601" t="n"/>
      <c r="R207" s="668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</row>
    <row r="208" ht="15" customHeight="1" thickBot="1">
      <c r="A208" s="669" t="n"/>
      <c r="B208" s="572" t="n"/>
      <c r="C208" s="572" t="n"/>
      <c r="D208" s="572" t="n"/>
      <c r="E208" s="572" t="n"/>
      <c r="F208" s="572" t="n"/>
      <c r="G208" s="572" t="n"/>
      <c r="H208" s="572" t="n"/>
      <c r="I208" s="572" t="n"/>
      <c r="J208" s="572" t="n"/>
      <c r="K208" s="572" t="n"/>
      <c r="L208" s="572" t="n"/>
      <c r="M208" s="572" t="n"/>
      <c r="N208" s="572" t="n"/>
      <c r="O208" s="572" t="n"/>
      <c r="P208" s="572" t="n"/>
      <c r="Q208" s="572" t="n"/>
      <c r="R208" s="670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</row>
    <row r="209" ht="15" customHeight="1">
      <c r="A209" s="570" t="inlineStr">
        <is>
          <t>筒賀水質管理センター　　　維持管理週報</t>
        </is>
      </c>
      <c r="M209" s="820">
        <f>M105</f>
        <v/>
      </c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</row>
    <row r="210" ht="15" customHeight="1" thickBot="1">
      <c r="A210" s="572" t="n"/>
      <c r="B210" s="572" t="n"/>
      <c r="C210" s="572" t="n"/>
      <c r="D210" s="572" t="n"/>
      <c r="E210" s="572" t="n"/>
      <c r="F210" s="572" t="n"/>
      <c r="G210" s="572" t="n"/>
      <c r="H210" s="572" t="n"/>
      <c r="I210" s="572" t="n"/>
      <c r="J210" s="572" t="n"/>
      <c r="K210" s="572" t="n"/>
      <c r="L210" s="572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</row>
    <row r="211" ht="15" customHeight="1">
      <c r="A211" s="599" t="n"/>
      <c r="B211" s="596" t="n"/>
      <c r="C211" s="596" t="n"/>
      <c r="D211" s="596" t="n"/>
      <c r="E211" s="596" t="n"/>
      <c r="F211" s="596" t="n"/>
      <c r="G211" s="596" t="n"/>
      <c r="H211" s="600" t="n"/>
      <c r="I211" s="795">
        <f>N159</f>
        <v/>
      </c>
      <c r="J211" s="795">
        <f>I211+1</f>
        <v/>
      </c>
      <c r="K211" s="795">
        <f>J211+1</f>
        <v/>
      </c>
      <c r="L211" s="795">
        <f>K211+1</f>
        <v/>
      </c>
      <c r="M211" s="795">
        <f>L211+1</f>
        <v/>
      </c>
      <c r="N211" s="795">
        <f>M211+3</f>
        <v/>
      </c>
      <c r="O211" s="595" t="inlineStr">
        <is>
          <t>平均</t>
        </is>
      </c>
      <c r="P211" s="596" t="n"/>
      <c r="Q211" s="596" t="n"/>
      <c r="R211" s="597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</row>
    <row r="212" ht="15" customHeight="1">
      <c r="A212" s="618" t="inlineStr">
        <is>
          <t>全日電力量</t>
        </is>
      </c>
      <c r="B212" s="574" t="n"/>
      <c r="C212" s="574" t="n"/>
      <c r="D212" s="574" t="n"/>
      <c r="E212" s="574" t="n"/>
      <c r="F212" s="580" t="n"/>
      <c r="G212" s="588" t="inlineStr">
        <is>
          <t>Kｗｈ</t>
        </is>
      </c>
      <c r="H212" s="580" t="n"/>
      <c r="I212" s="797" t="n"/>
      <c r="J212" s="797" t="n"/>
      <c r="K212" s="797" t="n"/>
      <c r="L212" s="797" t="n"/>
      <c r="M212" s="797" t="n"/>
      <c r="N212" s="797" t="n"/>
      <c r="O212" s="798" t="n"/>
      <c r="P212" s="574" t="n"/>
      <c r="Q212" s="574" t="n"/>
      <c r="R212" s="575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</row>
    <row r="213" ht="15" customHeight="1">
      <c r="A213" s="618" t="inlineStr">
        <is>
          <t>力測電力量</t>
        </is>
      </c>
      <c r="B213" s="574" t="n"/>
      <c r="C213" s="574" t="n"/>
      <c r="D213" s="574" t="n"/>
      <c r="E213" s="574" t="n"/>
      <c r="F213" s="580" t="n"/>
      <c r="G213" s="588" t="inlineStr">
        <is>
          <t>Kｗｈ</t>
        </is>
      </c>
      <c r="H213" s="580" t="n"/>
      <c r="I213" s="797" t="n"/>
      <c r="J213" s="797" t="n"/>
      <c r="K213" s="797" t="n"/>
      <c r="L213" s="797" t="n"/>
      <c r="M213" s="797" t="n"/>
      <c r="N213" s="797" t="n"/>
      <c r="O213" s="798" t="n"/>
      <c r="P213" s="574" t="n"/>
      <c r="Q213" s="574" t="n"/>
      <c r="R213" s="575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</row>
    <row r="214" ht="15" customHeight="1">
      <c r="A214" s="618" t="inlineStr">
        <is>
          <t>無効電力量</t>
        </is>
      </c>
      <c r="B214" s="574" t="n"/>
      <c r="C214" s="574" t="n"/>
      <c r="D214" s="574" t="n"/>
      <c r="E214" s="574" t="n"/>
      <c r="F214" s="580" t="n"/>
      <c r="G214" s="588" t="inlineStr">
        <is>
          <t>Kvar</t>
        </is>
      </c>
      <c r="H214" s="580" t="n"/>
      <c r="I214" s="797" t="n"/>
      <c r="J214" s="797" t="n"/>
      <c r="K214" s="797" t="n"/>
      <c r="L214" s="797" t="n"/>
      <c r="M214" s="797" t="n"/>
      <c r="N214" s="797" t="n"/>
      <c r="O214" s="798" t="n"/>
      <c r="P214" s="574" t="n"/>
      <c r="Q214" s="574" t="n"/>
      <c r="R214" s="575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</row>
    <row r="215" ht="15" customHeight="1">
      <c r="A215" s="618" t="inlineStr">
        <is>
          <t>デマンド</t>
        </is>
      </c>
      <c r="B215" s="574" t="n"/>
      <c r="C215" s="574" t="n"/>
      <c r="D215" s="574" t="n"/>
      <c r="E215" s="574" t="n"/>
      <c r="F215" s="580" t="n"/>
      <c r="G215" s="588" t="inlineStr">
        <is>
          <t>Kw</t>
        </is>
      </c>
      <c r="H215" s="580" t="n"/>
      <c r="I215" s="797" t="n"/>
      <c r="J215" s="797" t="n"/>
      <c r="K215" s="797" t="n"/>
      <c r="L215" s="797" t="n"/>
      <c r="M215" s="797" t="n"/>
      <c r="N215" s="797" t="n"/>
      <c r="O215" s="798" t="n"/>
      <c r="P215" s="574" t="n"/>
      <c r="Q215" s="574" t="n"/>
      <c r="R215" s="575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</row>
    <row r="216" ht="15" customHeight="1">
      <c r="A216" s="618" t="inlineStr">
        <is>
          <t>水道使用量</t>
        </is>
      </c>
      <c r="B216" s="574" t="n"/>
      <c r="C216" s="574" t="n"/>
      <c r="D216" s="574" t="n"/>
      <c r="E216" s="574" t="n"/>
      <c r="F216" s="580" t="n"/>
      <c r="G216" s="588" t="inlineStr">
        <is>
          <t>㎥</t>
        </is>
      </c>
      <c r="H216" s="580" t="n"/>
      <c r="I216" s="797" t="n"/>
      <c r="J216" s="797" t="n"/>
      <c r="K216" s="797" t="n"/>
      <c r="L216" s="797" t="n"/>
      <c r="M216" s="797" t="n"/>
      <c r="N216" s="797" t="n"/>
      <c r="O216" s="798" t="n"/>
      <c r="P216" s="574" t="n"/>
      <c r="Q216" s="574" t="n"/>
      <c r="R216" s="575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</row>
    <row r="217" ht="15" customHeight="1">
      <c r="A217" s="618" t="inlineStr">
        <is>
          <t>軽油（残量）</t>
        </is>
      </c>
      <c r="B217" s="574" t="n"/>
      <c r="C217" s="574" t="n"/>
      <c r="D217" s="574" t="n"/>
      <c r="E217" s="574" t="n"/>
      <c r="F217" s="580" t="n"/>
      <c r="G217" s="588" t="inlineStr">
        <is>
          <t>ℓ</t>
        </is>
      </c>
      <c r="H217" s="580" t="n"/>
      <c r="I217" s="17" t="n"/>
      <c r="J217" s="17" t="n"/>
      <c r="K217" s="17" t="n"/>
      <c r="L217" s="17" t="n"/>
      <c r="M217" s="17" t="n"/>
      <c r="N217" s="17" t="n"/>
      <c r="O217" s="800" t="n"/>
      <c r="P217" s="574" t="n"/>
      <c r="Q217" s="574" t="n"/>
      <c r="R217" s="575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</row>
    <row r="218" ht="15" customHeight="1">
      <c r="A218" s="616" t="inlineStr">
        <is>
          <t>返送汚泥流量（№1）</t>
        </is>
      </c>
      <c r="B218" s="574" t="n"/>
      <c r="C218" s="574" t="n"/>
      <c r="D218" s="574" t="n"/>
      <c r="E218" s="574" t="n"/>
      <c r="F218" s="580" t="n"/>
      <c r="G218" s="588" t="inlineStr">
        <is>
          <t>㎥</t>
        </is>
      </c>
      <c r="H218" s="580" t="n"/>
      <c r="I218" s="802" t="n"/>
      <c r="J218" s="802" t="n"/>
      <c r="K218" s="802" t="n"/>
      <c r="L218" s="802" t="n"/>
      <c r="M218" s="802" t="n"/>
      <c r="N218" s="802" t="n"/>
      <c r="O218" s="573" t="n"/>
      <c r="P218" s="574" t="n"/>
      <c r="Q218" s="574" t="n"/>
      <c r="R218" s="575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</row>
    <row r="219" ht="15" customHeight="1">
      <c r="A219" s="616" t="inlineStr">
        <is>
          <t>返送汚泥流量（№2）</t>
        </is>
      </c>
      <c r="B219" s="574" t="n"/>
      <c r="C219" s="574" t="n"/>
      <c r="D219" s="574" t="n"/>
      <c r="E219" s="574" t="n"/>
      <c r="F219" s="580" t="n"/>
      <c r="G219" s="588" t="inlineStr">
        <is>
          <t>㎥</t>
        </is>
      </c>
      <c r="H219" s="580" t="n"/>
      <c r="I219" s="802" t="n"/>
      <c r="J219" s="802" t="n"/>
      <c r="K219" s="802" t="n"/>
      <c r="L219" s="802" t="n"/>
      <c r="M219" s="802" t="n"/>
      <c r="N219" s="802" t="n"/>
      <c r="O219" s="573" t="n"/>
      <c r="P219" s="574" t="n"/>
      <c r="Q219" s="574" t="n"/>
      <c r="R219" s="575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</row>
    <row r="220" ht="15" customHeight="1" thickBot="1">
      <c r="A220" s="603" t="inlineStr">
        <is>
          <t>放流流量</t>
        </is>
      </c>
      <c r="B220" s="604" t="n"/>
      <c r="C220" s="604" t="n"/>
      <c r="D220" s="604" t="n"/>
      <c r="E220" s="604" t="n"/>
      <c r="F220" s="605" t="n"/>
      <c r="G220" s="634" t="inlineStr">
        <is>
          <t>㎥</t>
        </is>
      </c>
      <c r="H220" s="605" t="n"/>
      <c r="I220" s="804" t="n"/>
      <c r="J220" s="804" t="n"/>
      <c r="K220" s="802" t="n"/>
      <c r="L220" s="802" t="n"/>
      <c r="M220" s="802" t="n"/>
      <c r="N220" s="802" t="n"/>
      <c r="O220" s="573" t="n"/>
      <c r="P220" s="574" t="n"/>
      <c r="Q220" s="574" t="n"/>
      <c r="R220" s="575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</row>
    <row r="221" ht="45" customHeight="1" thickBot="1">
      <c r="A221" s="658" t="inlineStr">
        <is>
          <t>日 常 水 質 測 定 結 果</t>
        </is>
      </c>
      <c r="B221" s="650" t="n"/>
      <c r="C221" s="650" t="n"/>
      <c r="D221" s="650" t="n"/>
      <c r="E221" s="650" t="n"/>
      <c r="F221" s="650" t="n"/>
      <c r="G221" s="650" t="n"/>
      <c r="H221" s="650" t="n"/>
      <c r="I221" s="650" t="n"/>
      <c r="J221" s="650" t="n"/>
      <c r="K221" s="650" t="n"/>
      <c r="L221" s="650" t="n"/>
      <c r="M221" s="650" t="n"/>
      <c r="N221" s="650" t="n"/>
      <c r="O221" s="650" t="n"/>
      <c r="P221" s="650" t="n"/>
      <c r="Q221" s="650" t="n"/>
      <c r="R221" s="65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</row>
    <row r="222" ht="15" customHeight="1">
      <c r="A222" s="620" t="inlineStr">
        <is>
          <t>測 定 項 目</t>
        </is>
      </c>
      <c r="B222" s="621" t="n"/>
      <c r="C222" s="621" t="n"/>
      <c r="D222" s="621" t="n"/>
      <c r="E222" s="621" t="n"/>
      <c r="F222" s="621" t="n"/>
      <c r="G222" s="621" t="n"/>
      <c r="H222" s="622" t="n"/>
      <c r="I222" s="22" t="inlineStr">
        <is>
          <t>測定場所</t>
        </is>
      </c>
      <c r="J222" s="806">
        <f>I211</f>
        <v/>
      </c>
      <c r="K222" s="806">
        <f>J211</f>
        <v/>
      </c>
      <c r="L222" s="806">
        <f>K211</f>
        <v/>
      </c>
      <c r="M222" s="806">
        <f>L211</f>
        <v/>
      </c>
      <c r="N222" s="806">
        <f>M211</f>
        <v/>
      </c>
      <c r="O222" s="662">
        <f>O211</f>
        <v/>
      </c>
      <c r="P222" s="621" t="n"/>
      <c r="Q222" s="621" t="n"/>
      <c r="R222" s="663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</row>
    <row r="223" ht="15" customHeight="1">
      <c r="A223" s="593" t="n"/>
      <c r="B223" s="598" t="n"/>
      <c r="C223" s="598" t="n"/>
      <c r="D223" s="598" t="n"/>
      <c r="E223" s="598" t="n"/>
      <c r="F223" s="598" t="n"/>
      <c r="G223" s="598" t="n"/>
      <c r="H223" s="591" t="n"/>
      <c r="I223" s="615" t="inlineStr">
        <is>
          <t>測定者</t>
        </is>
      </c>
      <c r="J223" s="27" t="inlineStr">
        <is>
          <t>山根　悠貴</t>
        </is>
      </c>
      <c r="K223" s="27" t="inlineStr">
        <is>
          <t>山根　悠貴</t>
        </is>
      </c>
      <c r="L223" s="27" t="inlineStr">
        <is>
          <t>山根　悠貴</t>
        </is>
      </c>
      <c r="M223" s="27" t="inlineStr">
        <is>
          <t>山根　悠貴</t>
        </is>
      </c>
      <c r="N223" s="27" t="inlineStr">
        <is>
          <t>山根　悠貴</t>
        </is>
      </c>
      <c r="O223" s="590" t="n"/>
      <c r="P223" s="598" t="n"/>
      <c r="Q223" s="598" t="n"/>
      <c r="R223" s="624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</row>
    <row r="224" ht="15" customHeight="1">
      <c r="A224" s="579" t="inlineStr">
        <is>
          <t xml:space="preserve">水温　　　　　</t>
        </is>
      </c>
      <c r="B224" s="586" t="n"/>
      <c r="C224" s="586" t="n"/>
      <c r="D224" s="586" t="n"/>
      <c r="E224" s="586" t="n"/>
      <c r="F224" s="587" t="n"/>
      <c r="G224" s="589" t="inlineStr">
        <is>
          <t>℃</t>
        </is>
      </c>
      <c r="H224" s="587" t="n"/>
      <c r="I224" s="29" t="inlineStr">
        <is>
          <t>流入</t>
        </is>
      </c>
      <c r="J224" s="808" t="n"/>
      <c r="K224" s="808" t="n"/>
      <c r="L224" s="808" t="n"/>
      <c r="M224" s="808" t="n"/>
      <c r="N224" s="808" t="n"/>
      <c r="O224" s="809" t="n"/>
      <c r="P224" s="583" t="n"/>
      <c r="Q224" s="583" t="n"/>
      <c r="R224" s="584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</row>
    <row r="225" ht="15" customHeight="1">
      <c r="A225" s="601" t="n"/>
      <c r="F225" s="602" t="n"/>
      <c r="G225" s="613" t="n"/>
      <c r="H225" s="602" t="n"/>
      <c r="I225" s="32" t="inlineStr">
        <is>
          <t>ディッチ、１</t>
        </is>
      </c>
      <c r="J225" s="811" t="n"/>
      <c r="K225" s="811" t="n"/>
      <c r="L225" s="811" t="n"/>
      <c r="M225" s="811" t="n"/>
      <c r="N225" s="811" t="n"/>
      <c r="O225" s="812" t="n"/>
      <c r="P225" s="577" t="n"/>
      <c r="Q225" s="577" t="n"/>
      <c r="R225" s="578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</row>
    <row r="226" ht="15" customHeight="1">
      <c r="A226" s="601" t="n"/>
      <c r="F226" s="602" t="n"/>
      <c r="G226" s="613" t="n"/>
      <c r="H226" s="602" t="n"/>
      <c r="I226" s="32" t="inlineStr">
        <is>
          <t>ディッチ、２</t>
        </is>
      </c>
      <c r="J226" s="811" t="n"/>
      <c r="K226" s="811" t="n"/>
      <c r="L226" s="811" t="n"/>
      <c r="M226" s="811" t="n"/>
      <c r="N226" s="811" t="n"/>
      <c r="O226" s="812" t="n"/>
      <c r="P226" s="577" t="n"/>
      <c r="Q226" s="577" t="n"/>
      <c r="R226" s="578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</row>
    <row r="227" ht="15" customHeight="1">
      <c r="A227" s="593" t="n"/>
      <c r="B227" s="598" t="n"/>
      <c r="C227" s="598" t="n"/>
      <c r="D227" s="598" t="n"/>
      <c r="E227" s="598" t="n"/>
      <c r="F227" s="591" t="n"/>
      <c r="G227" s="590" t="n"/>
      <c r="H227" s="591" t="n"/>
      <c r="I227" s="35" t="inlineStr">
        <is>
          <t>放流</t>
        </is>
      </c>
      <c r="J227" s="814" t="n"/>
      <c r="K227" s="814" t="n"/>
      <c r="L227" s="814" t="n"/>
      <c r="M227" s="814" t="n"/>
      <c r="N227" s="814" t="n"/>
      <c r="O227" s="815" t="n"/>
      <c r="P227" s="608" t="n"/>
      <c r="Q227" s="608" t="n"/>
      <c r="R227" s="60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</row>
    <row r="228" ht="15" customHeight="1">
      <c r="A228" s="579" t="inlineStr">
        <is>
          <t>外観</t>
        </is>
      </c>
      <c r="B228" s="587" t="n"/>
      <c r="C228" s="628" t="inlineStr">
        <is>
          <t>油膜・色合</t>
        </is>
      </c>
      <c r="D228" s="586" t="n"/>
      <c r="E228" s="586" t="n"/>
      <c r="F228" s="587" t="n"/>
      <c r="G228" s="589" t="inlineStr">
        <is>
          <t>有無</t>
        </is>
      </c>
      <c r="H228" s="587" t="n"/>
      <c r="I228" s="29" t="inlineStr">
        <is>
          <t>流入</t>
        </is>
      </c>
      <c r="J228" s="39" t="n"/>
      <c r="K228" s="39" t="n"/>
      <c r="L228" s="39" t="n"/>
      <c r="M228" s="39" t="n"/>
      <c r="N228" s="39" t="n"/>
      <c r="O228" s="582" t="n"/>
      <c r="P228" s="583" t="n"/>
      <c r="Q228" s="583" t="n"/>
      <c r="R228" s="584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</row>
    <row r="229" ht="15" customHeight="1">
      <c r="A229" s="601" t="n"/>
      <c r="B229" s="602" t="n"/>
      <c r="C229" s="613" t="n"/>
      <c r="F229" s="602" t="n"/>
      <c r="G229" s="613" t="n"/>
      <c r="H229" s="602" t="n"/>
      <c r="I229" s="32" t="inlineStr">
        <is>
          <t>ディッチ、１</t>
        </is>
      </c>
      <c r="J229" s="42" t="n"/>
      <c r="K229" s="42" t="n"/>
      <c r="L229" s="42" t="n"/>
      <c r="M229" s="42" t="n"/>
      <c r="N229" s="42" t="n"/>
      <c r="O229" s="644" t="n"/>
      <c r="P229" s="577" t="n"/>
      <c r="Q229" s="577" t="n"/>
      <c r="R229" s="578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</row>
    <row r="230" ht="15" customHeight="1">
      <c r="A230" s="601" t="n"/>
      <c r="B230" s="602" t="n"/>
      <c r="C230" s="613" t="n"/>
      <c r="F230" s="602" t="n"/>
      <c r="G230" s="613" t="n"/>
      <c r="H230" s="602" t="n"/>
      <c r="I230" s="32" t="inlineStr">
        <is>
          <t>ディッチ、２</t>
        </is>
      </c>
      <c r="J230" s="42" t="n"/>
      <c r="K230" s="42" t="n"/>
      <c r="L230" s="42" t="n"/>
      <c r="M230" s="42" t="n"/>
      <c r="N230" s="42" t="n"/>
      <c r="O230" s="644" t="n"/>
      <c r="P230" s="577" t="n"/>
      <c r="Q230" s="577" t="n"/>
      <c r="R230" s="578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</row>
    <row r="231" ht="15" customHeight="1">
      <c r="A231" s="593" t="n"/>
      <c r="B231" s="591" t="n"/>
      <c r="C231" s="590" t="n"/>
      <c r="D231" s="598" t="n"/>
      <c r="E231" s="598" t="n"/>
      <c r="F231" s="591" t="n"/>
      <c r="G231" s="590" t="n"/>
      <c r="H231" s="591" t="n"/>
      <c r="I231" s="35" t="inlineStr">
        <is>
          <t>放流</t>
        </is>
      </c>
      <c r="J231" s="44" t="n"/>
      <c r="K231" s="44" t="n"/>
      <c r="L231" s="44" t="n"/>
      <c r="M231" s="44" t="n"/>
      <c r="N231" s="44" t="n"/>
      <c r="O231" s="619" t="n"/>
      <c r="P231" s="608" t="n"/>
      <c r="Q231" s="608" t="n"/>
      <c r="R231" s="60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</row>
    <row r="232" ht="15" customHeight="1">
      <c r="A232" s="579" t="inlineStr">
        <is>
          <t>透視度</t>
        </is>
      </c>
      <c r="B232" s="586" t="n"/>
      <c r="C232" s="586" t="n"/>
      <c r="D232" s="586" t="n"/>
      <c r="E232" s="586" t="n"/>
      <c r="F232" s="587" t="n"/>
      <c r="G232" s="589" t="inlineStr">
        <is>
          <t>ｃｍ</t>
        </is>
      </c>
      <c r="H232" s="587" t="n"/>
      <c r="I232" s="29" t="inlineStr">
        <is>
          <t>流入水</t>
        </is>
      </c>
      <c r="J232" s="808" t="n"/>
      <c r="K232" s="808" t="n"/>
      <c r="L232" s="808" t="n"/>
      <c r="M232" s="808" t="n"/>
      <c r="N232" s="808" t="n"/>
      <c r="O232" s="809" t="n"/>
      <c r="P232" s="583" t="n"/>
      <c r="Q232" s="583" t="n"/>
      <c r="R232" s="584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</row>
    <row r="233" ht="15" customHeight="1">
      <c r="A233" s="593" t="n"/>
      <c r="B233" s="598" t="n"/>
      <c r="C233" s="598" t="n"/>
      <c r="D233" s="598" t="n"/>
      <c r="E233" s="598" t="n"/>
      <c r="F233" s="591" t="n"/>
      <c r="G233" s="590" t="n"/>
      <c r="H233" s="591" t="n"/>
      <c r="I233" s="35" t="inlineStr">
        <is>
          <t>放流水</t>
        </is>
      </c>
      <c r="J233" s="46" t="n"/>
      <c r="K233" s="46" t="n"/>
      <c r="L233" s="46" t="n"/>
      <c r="M233" s="46" t="n"/>
      <c r="N233" s="46" t="n"/>
      <c r="O233" s="639" t="n"/>
      <c r="P233" s="608" t="n"/>
      <c r="Q233" s="608" t="n"/>
      <c r="R233" s="60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</row>
    <row r="234" ht="15" customHeight="1">
      <c r="A234" s="579" t="inlineStr">
        <is>
          <t>臭気</t>
        </is>
      </c>
      <c r="B234" s="587" t="n"/>
      <c r="C234" s="632" t="inlineStr">
        <is>
          <t>腐敗臭</t>
        </is>
      </c>
      <c r="D234" s="586" t="n"/>
      <c r="E234" s="586" t="n"/>
      <c r="F234" s="587" t="n"/>
      <c r="G234" s="589" t="inlineStr">
        <is>
          <t>有無</t>
        </is>
      </c>
      <c r="H234" s="587" t="n"/>
      <c r="I234" s="29" t="inlineStr">
        <is>
          <t>流入</t>
        </is>
      </c>
      <c r="J234" s="48" t="n"/>
      <c r="K234" s="48" t="n"/>
      <c r="L234" s="48" t="n"/>
      <c r="M234" s="48" t="n"/>
      <c r="N234" s="48" t="n"/>
      <c r="O234" s="582" t="n"/>
      <c r="P234" s="583" t="n"/>
      <c r="Q234" s="583" t="n"/>
      <c r="R234" s="584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</row>
    <row r="235" ht="15" customHeight="1">
      <c r="A235" s="601" t="n"/>
      <c r="B235" s="602" t="n"/>
      <c r="C235" s="613" t="n"/>
      <c r="F235" s="602" t="n"/>
      <c r="G235" s="613" t="n"/>
      <c r="H235" s="602" t="n"/>
      <c r="I235" s="32" t="inlineStr">
        <is>
          <t>ディッチ、１</t>
        </is>
      </c>
      <c r="J235" s="50" t="n"/>
      <c r="K235" s="50" t="n"/>
      <c r="L235" s="50" t="n"/>
      <c r="M235" s="50" t="n"/>
      <c r="N235" s="50" t="n"/>
      <c r="O235" s="644" t="n"/>
      <c r="P235" s="577" t="n"/>
      <c r="Q235" s="577" t="n"/>
      <c r="R235" s="578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</row>
    <row r="236" ht="15" customHeight="1">
      <c r="A236" s="601" t="n"/>
      <c r="B236" s="602" t="n"/>
      <c r="C236" s="613" t="n"/>
      <c r="F236" s="602" t="n"/>
      <c r="G236" s="613" t="n"/>
      <c r="H236" s="602" t="n"/>
      <c r="I236" s="32" t="inlineStr">
        <is>
          <t>ディッチ、２</t>
        </is>
      </c>
      <c r="J236" s="50" t="n"/>
      <c r="K236" s="50" t="n"/>
      <c r="L236" s="50" t="n"/>
      <c r="M236" s="50" t="n"/>
      <c r="N236" s="50" t="n"/>
      <c r="O236" s="644" t="n"/>
      <c r="P236" s="577" t="n"/>
      <c r="Q236" s="577" t="n"/>
      <c r="R236" s="578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</row>
    <row r="237" ht="15" customHeight="1">
      <c r="A237" s="593" t="n"/>
      <c r="B237" s="591" t="n"/>
      <c r="C237" s="590" t="n"/>
      <c r="D237" s="598" t="n"/>
      <c r="E237" s="598" t="n"/>
      <c r="F237" s="591" t="n"/>
      <c r="G237" s="590" t="n"/>
      <c r="H237" s="591" t="n"/>
      <c r="I237" s="35" t="inlineStr">
        <is>
          <t>放流</t>
        </is>
      </c>
      <c r="J237" s="46" t="n"/>
      <c r="K237" s="46" t="n"/>
      <c r="L237" s="46" t="n"/>
      <c r="M237" s="46" t="n"/>
      <c r="N237" s="46" t="n"/>
      <c r="O237" s="619" t="n"/>
      <c r="P237" s="608" t="n"/>
      <c r="Q237" s="608" t="n"/>
      <c r="R237" s="60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</row>
    <row r="238" ht="15" customHeight="1">
      <c r="A238" s="579" t="inlineStr">
        <is>
          <t>PH</t>
        </is>
      </c>
      <c r="B238" s="587" t="n"/>
      <c r="C238" s="630" t="n"/>
      <c r="D238" s="586" t="n"/>
      <c r="E238" s="586" t="n"/>
      <c r="F238" s="587" t="n"/>
      <c r="G238" s="589" t="inlineStr">
        <is>
          <t>―</t>
        </is>
      </c>
      <c r="H238" s="587" t="n"/>
      <c r="I238" s="29" t="inlineStr">
        <is>
          <t>流入</t>
        </is>
      </c>
      <c r="J238" s="53" t="n"/>
      <c r="K238" s="53" t="n"/>
      <c r="L238" s="53" t="n"/>
      <c r="M238" s="53" t="n"/>
      <c r="N238" s="53" t="n"/>
      <c r="O238" s="655" t="n"/>
      <c r="P238" s="583" t="n"/>
      <c r="Q238" s="583" t="n"/>
      <c r="R238" s="584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</row>
    <row r="239" ht="15" customHeight="1">
      <c r="A239" s="601" t="n"/>
      <c r="B239" s="602" t="n"/>
      <c r="C239" s="613" t="n"/>
      <c r="F239" s="602" t="n"/>
      <c r="G239" s="613" t="n"/>
      <c r="H239" s="602" t="n"/>
      <c r="I239" s="32" t="inlineStr">
        <is>
          <t>ディッチ、１</t>
        </is>
      </c>
      <c r="J239" s="55" t="n"/>
      <c r="K239" s="55" t="n"/>
      <c r="L239" s="55" t="n"/>
      <c r="M239" s="55" t="n"/>
      <c r="N239" s="55" t="n"/>
      <c r="O239" s="576" t="n"/>
      <c r="P239" s="577" t="n"/>
      <c r="Q239" s="577" t="n"/>
      <c r="R239" s="578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</row>
    <row r="240" ht="15" customHeight="1">
      <c r="A240" s="601" t="n"/>
      <c r="B240" s="602" t="n"/>
      <c r="C240" s="613" t="n"/>
      <c r="F240" s="602" t="n"/>
      <c r="G240" s="613" t="n"/>
      <c r="H240" s="602" t="n"/>
      <c r="I240" s="32" t="inlineStr">
        <is>
          <t>ディッチ、２</t>
        </is>
      </c>
      <c r="J240" s="55" t="n"/>
      <c r="K240" s="55" t="n"/>
      <c r="L240" s="55" t="n"/>
      <c r="M240" s="55" t="n"/>
      <c r="N240" s="55" t="n"/>
      <c r="O240" s="576" t="n"/>
      <c r="P240" s="577" t="n"/>
      <c r="Q240" s="577" t="n"/>
      <c r="R240" s="578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</row>
    <row r="241" ht="15" customHeight="1">
      <c r="A241" s="593" t="n"/>
      <c r="B241" s="591" t="n"/>
      <c r="C241" s="590" t="n"/>
      <c r="D241" s="598" t="n"/>
      <c r="E241" s="598" t="n"/>
      <c r="F241" s="591" t="n"/>
      <c r="G241" s="590" t="n"/>
      <c r="H241" s="591" t="n"/>
      <c r="I241" s="35" t="inlineStr">
        <is>
          <t>放流</t>
        </is>
      </c>
      <c r="J241" s="57" t="n"/>
      <c r="K241" s="57" t="n"/>
      <c r="L241" s="57" t="n"/>
      <c r="M241" s="57" t="n"/>
      <c r="N241" s="57" t="n"/>
      <c r="O241" s="625" t="n"/>
      <c r="P241" s="608" t="n"/>
      <c r="Q241" s="608" t="n"/>
      <c r="R241" s="60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</row>
    <row r="242" ht="15" customHeight="1">
      <c r="A242" s="633" t="inlineStr">
        <is>
          <t>SV</t>
        </is>
      </c>
      <c r="B242" s="587" t="n"/>
      <c r="C242" s="588" t="inlineStr">
        <is>
          <t>SV・30</t>
        </is>
      </c>
      <c r="D242" s="574" t="n"/>
      <c r="E242" s="574" t="n"/>
      <c r="F242" s="580" t="n"/>
      <c r="G242" s="589" t="inlineStr">
        <is>
          <t>％</t>
        </is>
      </c>
      <c r="H242" s="587" t="n"/>
      <c r="I242" s="615" t="inlineStr">
        <is>
          <t>１系</t>
        </is>
      </c>
      <c r="J242" s="48" t="n"/>
      <c r="K242" s="48" t="n"/>
      <c r="L242" s="48" t="n"/>
      <c r="M242" s="48" t="n"/>
      <c r="N242" s="48" t="n"/>
      <c r="O242" s="809" t="n"/>
      <c r="P242" s="583" t="n"/>
      <c r="Q242" s="583" t="n"/>
      <c r="R242" s="584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</row>
    <row r="243" ht="15" customHeight="1">
      <c r="A243" s="593" t="n"/>
      <c r="B243" s="591" t="n"/>
      <c r="C243" s="588" t="inlineStr">
        <is>
          <t>SV・２４ｈ</t>
        </is>
      </c>
      <c r="D243" s="574" t="n"/>
      <c r="E243" s="574" t="n"/>
      <c r="F243" s="580" t="n"/>
      <c r="G243" s="590" t="n"/>
      <c r="H243" s="591" t="n"/>
      <c r="I243" s="590" t="n"/>
      <c r="J243" s="46" t="n"/>
      <c r="K243" s="46" t="n"/>
      <c r="L243" s="46" t="n"/>
      <c r="M243" s="46" t="n"/>
      <c r="N243" s="46" t="n"/>
      <c r="O243" s="815" t="n"/>
      <c r="P243" s="608" t="n"/>
      <c r="Q243" s="608" t="n"/>
      <c r="R243" s="60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</row>
    <row r="244" ht="15" customHeight="1">
      <c r="A244" s="633" t="inlineStr">
        <is>
          <t>SV</t>
        </is>
      </c>
      <c r="B244" s="587" t="n"/>
      <c r="C244" s="588" t="inlineStr">
        <is>
          <t>SV・30</t>
        </is>
      </c>
      <c r="D244" s="574" t="n"/>
      <c r="E244" s="574" t="n"/>
      <c r="F244" s="580" t="n"/>
      <c r="G244" s="589" t="inlineStr">
        <is>
          <t>％</t>
        </is>
      </c>
      <c r="H244" s="587" t="n"/>
      <c r="I244" s="615" t="inlineStr">
        <is>
          <t>２系</t>
        </is>
      </c>
      <c r="J244" s="48" t="n"/>
      <c r="K244" s="48" t="n"/>
      <c r="L244" s="48" t="n"/>
      <c r="M244" s="48" t="n"/>
      <c r="N244" s="48" t="n"/>
      <c r="O244" s="809" t="n"/>
      <c r="P244" s="583" t="n"/>
      <c r="Q244" s="583" t="n"/>
      <c r="R244" s="584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</row>
    <row r="245" ht="15" customHeight="1">
      <c r="A245" s="593" t="n"/>
      <c r="B245" s="591" t="n"/>
      <c r="C245" s="588" t="inlineStr">
        <is>
          <t>SV・２４ｈ</t>
        </is>
      </c>
      <c r="D245" s="574" t="n"/>
      <c r="E245" s="574" t="n"/>
      <c r="F245" s="580" t="n"/>
      <c r="G245" s="590" t="n"/>
      <c r="H245" s="591" t="n"/>
      <c r="I245" s="590" t="n"/>
      <c r="J245" s="46" t="n"/>
      <c r="K245" s="46" t="n"/>
      <c r="L245" s="46" t="n"/>
      <c r="M245" s="46" t="n"/>
      <c r="N245" s="46" t="n"/>
      <c r="O245" s="815" t="n"/>
      <c r="P245" s="608" t="n"/>
      <c r="Q245" s="608" t="n"/>
      <c r="R245" s="60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</row>
    <row r="246" ht="15" customHeight="1">
      <c r="A246" s="592" t="inlineStr">
        <is>
          <t>反応槽</t>
        </is>
      </c>
      <c r="B246" s="587" t="n"/>
      <c r="C246" s="589" t="inlineStr">
        <is>
          <t>MLSS</t>
        </is>
      </c>
      <c r="D246" s="586" t="n"/>
      <c r="E246" s="586" t="n"/>
      <c r="F246" s="587" t="n"/>
      <c r="G246" s="589" t="inlineStr">
        <is>
          <t>㎎/ℓ</t>
        </is>
      </c>
      <c r="H246" s="587" t="n"/>
      <c r="I246" s="58" t="inlineStr">
        <is>
          <t>1系</t>
        </is>
      </c>
      <c r="J246" s="60" t="n"/>
      <c r="K246" s="60" t="n"/>
      <c r="L246" s="60" t="n"/>
      <c r="M246" s="60" t="n"/>
      <c r="N246" s="60" t="n"/>
      <c r="O246" s="818" t="n"/>
      <c r="P246" s="637" t="n"/>
      <c r="Q246" s="637" t="n"/>
      <c r="R246" s="638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</row>
    <row r="247" ht="15" customHeight="1">
      <c r="A247" s="593" t="n"/>
      <c r="B247" s="591" t="n"/>
      <c r="C247" s="590" t="n"/>
      <c r="D247" s="598" t="n"/>
      <c r="E247" s="598" t="n"/>
      <c r="F247" s="591" t="n"/>
      <c r="G247" s="590" t="n"/>
      <c r="H247" s="591" t="n"/>
      <c r="I247" s="61" t="inlineStr">
        <is>
          <t>2系</t>
        </is>
      </c>
      <c r="J247" s="63" t="n"/>
      <c r="K247" s="63" t="n"/>
      <c r="L247" s="63" t="n"/>
      <c r="M247" s="63" t="n"/>
      <c r="N247" s="63" t="n"/>
      <c r="O247" s="819" t="n"/>
      <c r="P247" s="598" t="n"/>
      <c r="Q247" s="598" t="n"/>
      <c r="R247" s="624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</row>
    <row r="248" ht="15" customHeight="1">
      <c r="A248" s="579" t="inlineStr">
        <is>
          <t>汚泥界面</t>
        </is>
      </c>
      <c r="B248" s="586" t="n"/>
      <c r="C248" s="586" t="n"/>
      <c r="D248" s="586" t="n"/>
      <c r="E248" s="586" t="n"/>
      <c r="F248" s="587" t="n"/>
      <c r="G248" s="589" t="inlineStr">
        <is>
          <t>ｃｍ</t>
        </is>
      </c>
      <c r="H248" s="587" t="n"/>
      <c r="I248" s="58" t="inlineStr">
        <is>
          <t>１系終沈</t>
        </is>
      </c>
      <c r="J248" s="65" t="n"/>
      <c r="K248" s="65" t="n"/>
      <c r="L248" s="65" t="n"/>
      <c r="M248" s="65" t="n"/>
      <c r="N248" s="65" t="n"/>
      <c r="O248" s="818" t="n"/>
      <c r="P248" s="637" t="n"/>
      <c r="Q248" s="637" t="n"/>
      <c r="R248" s="638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</row>
    <row r="249" ht="15" customHeight="1">
      <c r="A249" s="593" t="n"/>
      <c r="B249" s="598" t="n"/>
      <c r="C249" s="598" t="n"/>
      <c r="D249" s="598" t="n"/>
      <c r="E249" s="598" t="n"/>
      <c r="F249" s="591" t="n"/>
      <c r="G249" s="590" t="n"/>
      <c r="H249" s="591" t="n"/>
      <c r="I249" s="61" t="inlineStr">
        <is>
          <t>２系終沈</t>
        </is>
      </c>
      <c r="J249" s="67" t="n"/>
      <c r="K249" s="67" t="n"/>
      <c r="L249" s="67" t="n"/>
      <c r="M249" s="67" t="n"/>
      <c r="N249" s="67" t="n"/>
      <c r="O249" s="819" t="n"/>
      <c r="P249" s="598" t="n"/>
      <c r="Q249" s="598" t="n"/>
      <c r="R249" s="624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</row>
    <row r="250" ht="15" customHeight="1">
      <c r="A250" s="579" t="inlineStr">
        <is>
          <t>残留塩素</t>
        </is>
      </c>
      <c r="B250" s="574" t="n"/>
      <c r="C250" s="574" t="n"/>
      <c r="D250" s="574" t="n"/>
      <c r="E250" s="574" t="n"/>
      <c r="F250" s="580" t="n"/>
      <c r="G250" s="589" t="inlineStr">
        <is>
          <t>㎎/ℓ</t>
        </is>
      </c>
      <c r="H250" s="580" t="n"/>
      <c r="I250" s="68" t="inlineStr">
        <is>
          <t>放流水</t>
        </is>
      </c>
      <c r="J250" s="70" t="n"/>
      <c r="K250" s="70" t="n"/>
      <c r="L250" s="70" t="n"/>
      <c r="M250" s="70" t="n"/>
      <c r="N250" s="70" t="n"/>
      <c r="O250" s="816" t="n"/>
      <c r="P250" s="574" t="n"/>
      <c r="Q250" s="574" t="n"/>
      <c r="R250" s="575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</row>
    <row r="251" ht="15" customHeight="1">
      <c r="A251" s="618" t="inlineStr">
        <is>
          <t>塩素投入量</t>
        </is>
      </c>
      <c r="B251" s="574" t="n"/>
      <c r="C251" s="574" t="n"/>
      <c r="D251" s="574" t="n"/>
      <c r="E251" s="574" t="n"/>
      <c r="F251" s="580" t="n"/>
      <c r="G251" s="588" t="inlineStr">
        <is>
          <t>kg</t>
        </is>
      </c>
      <c r="H251" s="580" t="n"/>
      <c r="I251" s="68" t="inlineStr">
        <is>
          <t>塩素混和池</t>
        </is>
      </c>
      <c r="J251" s="70" t="n"/>
      <c r="K251" s="70" t="n"/>
      <c r="L251" s="70" t="n"/>
      <c r="M251" s="70" t="n"/>
      <c r="N251" s="70" t="n"/>
      <c r="O251" s="612" t="n"/>
      <c r="P251" s="574" t="n"/>
      <c r="Q251" s="574" t="n"/>
      <c r="R251" s="575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</row>
    <row r="252" ht="15" customHeight="1">
      <c r="A252" s="661" t="inlineStr">
        <is>
          <t xml:space="preserve">　備　　考</t>
        </is>
      </c>
      <c r="B252" s="583" t="n"/>
      <c r="C252" s="583" t="n"/>
      <c r="D252" s="583" t="n"/>
      <c r="E252" s="583" t="n"/>
      <c r="F252" s="583" t="n"/>
      <c r="G252" s="583" t="n"/>
      <c r="H252" s="583" t="n"/>
      <c r="I252" s="583" t="n"/>
      <c r="J252" s="583" t="n"/>
      <c r="K252" s="583" t="n"/>
      <c r="L252" s="583" t="n"/>
      <c r="M252" s="583" t="n"/>
      <c r="N252" s="583" t="n"/>
      <c r="O252" s="583" t="n"/>
      <c r="P252" s="583" t="n"/>
      <c r="Q252" s="583" t="n"/>
      <c r="R252" s="584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</row>
    <row r="253" ht="15" customHeight="1">
      <c r="A253" s="665" t="n"/>
      <c r="B253" s="666" t="n"/>
      <c r="C253" s="666" t="n"/>
      <c r="D253" s="666" t="n"/>
      <c r="E253" s="666" t="n"/>
      <c r="F253" s="666" t="n"/>
      <c r="G253" s="666" t="n"/>
      <c r="H253" s="666" t="n"/>
      <c r="I253" s="666" t="n"/>
      <c r="J253" s="666" t="n"/>
      <c r="K253" s="666" t="n"/>
      <c r="L253" s="666" t="n"/>
      <c r="M253" s="666" t="n"/>
      <c r="N253" s="666" t="n"/>
      <c r="O253" s="666" t="n"/>
      <c r="P253" s="666" t="n"/>
      <c r="Q253" s="666" t="n"/>
      <c r="R253" s="667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</row>
    <row r="254" ht="15" customHeight="1">
      <c r="A254" s="601" t="n"/>
      <c r="R254" s="668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</row>
    <row r="255" ht="15" customHeight="1">
      <c r="A255" s="601" t="n"/>
      <c r="R255" s="668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</row>
    <row r="256" ht="15" customHeight="1">
      <c r="A256" s="601" t="n"/>
      <c r="R256" s="668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</row>
    <row r="257" ht="15" customHeight="1">
      <c r="A257" s="601" t="n"/>
      <c r="R257" s="668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</row>
    <row r="258" ht="15" customHeight="1">
      <c r="A258" s="601" t="n"/>
      <c r="R258" s="668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</row>
    <row r="259" ht="15" customHeight="1">
      <c r="A259" s="601" t="n"/>
      <c r="R259" s="668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</row>
    <row r="260" ht="15" customHeight="1" thickBot="1">
      <c r="A260" s="669" t="n"/>
      <c r="B260" s="572" t="n"/>
      <c r="C260" s="572" t="n"/>
      <c r="D260" s="572" t="n"/>
      <c r="E260" s="572" t="n"/>
      <c r="F260" s="572" t="n"/>
      <c r="G260" s="572" t="n"/>
      <c r="H260" s="572" t="n"/>
      <c r="I260" s="572" t="n"/>
      <c r="J260" s="572" t="n"/>
      <c r="K260" s="572" t="n"/>
      <c r="L260" s="572" t="n"/>
      <c r="M260" s="572" t="n"/>
      <c r="N260" s="572" t="n"/>
      <c r="O260" s="572" t="n"/>
      <c r="P260" s="572" t="n"/>
      <c r="Q260" s="572" t="n"/>
      <c r="R260" s="670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</row>
  </sheetData>
  <mergeCells count="480">
    <mergeCell ref="A209:L210"/>
    <mergeCell ref="O64:R64"/>
    <mergeCell ref="O135:R135"/>
    <mergeCell ref="A198:F198"/>
    <mergeCell ref="O122:R122"/>
    <mergeCell ref="O72:R72"/>
    <mergeCell ref="O199:R199"/>
    <mergeCell ref="C87:F87"/>
    <mergeCell ref="A1:L2"/>
    <mergeCell ref="G144:H145"/>
    <mergeCell ref="A38:B39"/>
    <mergeCell ref="M157:R158"/>
    <mergeCell ref="G242:H243"/>
    <mergeCell ref="C89:F89"/>
    <mergeCell ref="O211:R211"/>
    <mergeCell ref="C194:F195"/>
    <mergeCell ref="A55:H55"/>
    <mergeCell ref="C88:F88"/>
    <mergeCell ref="A130:B133"/>
    <mergeCell ref="G114:H114"/>
    <mergeCell ref="A176:B179"/>
    <mergeCell ref="A64:F64"/>
    <mergeCell ref="G168:H168"/>
    <mergeCell ref="O212:R212"/>
    <mergeCell ref="O146:R146"/>
    <mergeCell ref="O41:R41"/>
    <mergeCell ref="O35:R35"/>
    <mergeCell ref="G213:H213"/>
    <mergeCell ref="A76:F77"/>
    <mergeCell ref="O214:R214"/>
    <mergeCell ref="O43:R43"/>
    <mergeCell ref="G59:H59"/>
    <mergeCell ref="O60:R60"/>
    <mergeCell ref="G142:H143"/>
    <mergeCell ref="G61:H61"/>
    <mergeCell ref="G124:H127"/>
    <mergeCell ref="C190:F190"/>
    <mergeCell ref="G92:H93"/>
    <mergeCell ref="G219:H219"/>
    <mergeCell ref="A92:F93"/>
    <mergeCell ref="A68:F71"/>
    <mergeCell ref="O159:R159"/>
    <mergeCell ref="C142:F143"/>
    <mergeCell ref="I242:I243"/>
    <mergeCell ref="O224:R224"/>
    <mergeCell ref="A20:B23"/>
    <mergeCell ref="G182:H185"/>
    <mergeCell ref="G112:H112"/>
    <mergeCell ref="G62:H62"/>
    <mergeCell ref="A62:F62"/>
    <mergeCell ref="O161:R161"/>
    <mergeCell ref="I244:I245"/>
    <mergeCell ref="O136:R136"/>
    <mergeCell ref="A199:F199"/>
    <mergeCell ref="G134:H137"/>
    <mergeCell ref="O225:R225"/>
    <mergeCell ref="O29:R29"/>
    <mergeCell ref="G250:H250"/>
    <mergeCell ref="A59:F59"/>
    <mergeCell ref="O227:R227"/>
    <mergeCell ref="G244:H245"/>
    <mergeCell ref="A222:H223"/>
    <mergeCell ref="O31:R31"/>
    <mergeCell ref="C139:F139"/>
    <mergeCell ref="A61:F61"/>
    <mergeCell ref="G9:H9"/>
    <mergeCell ref="C138:F138"/>
    <mergeCell ref="O62:R62"/>
    <mergeCell ref="O56:R56"/>
    <mergeCell ref="A217:F217"/>
    <mergeCell ref="G11:H11"/>
    <mergeCell ref="O91:R91"/>
    <mergeCell ref="A56:F56"/>
    <mergeCell ref="G76:H77"/>
    <mergeCell ref="O85:R85"/>
    <mergeCell ref="I190:I191"/>
    <mergeCell ref="O57:R57"/>
    <mergeCell ref="O220:R220"/>
    <mergeCell ref="O118:R119"/>
    <mergeCell ref="A157:L158"/>
    <mergeCell ref="O86:R86"/>
    <mergeCell ref="C124:F127"/>
    <mergeCell ref="O9:R9"/>
    <mergeCell ref="C238:F241"/>
    <mergeCell ref="A170:H171"/>
    <mergeCell ref="G130:H133"/>
    <mergeCell ref="O215:R215"/>
    <mergeCell ref="C182:F185"/>
    <mergeCell ref="G95:H95"/>
    <mergeCell ref="G194:H195"/>
    <mergeCell ref="A88:B89"/>
    <mergeCell ref="G64:H64"/>
    <mergeCell ref="C193:F193"/>
    <mergeCell ref="O175:R175"/>
    <mergeCell ref="O4:R4"/>
    <mergeCell ref="O246:R246"/>
    <mergeCell ref="A148:R148"/>
    <mergeCell ref="O75:R75"/>
    <mergeCell ref="A90:B91"/>
    <mergeCell ref="A30:B33"/>
    <mergeCell ref="O233:R233"/>
    <mergeCell ref="G164:H164"/>
    <mergeCell ref="G217:H217"/>
    <mergeCell ref="O177:R177"/>
    <mergeCell ref="O248:R248"/>
    <mergeCell ref="O70:R70"/>
    <mergeCell ref="O241:R241"/>
    <mergeCell ref="G251:H251"/>
    <mergeCell ref="O81:R81"/>
    <mergeCell ref="O243:R243"/>
    <mergeCell ref="C140:F140"/>
    <mergeCell ref="G88:H89"/>
    <mergeCell ref="O180:R180"/>
    <mergeCell ref="G146:H146"/>
    <mergeCell ref="G6:H6"/>
    <mergeCell ref="A4:F4"/>
    <mergeCell ref="C176:F179"/>
    <mergeCell ref="G90:H91"/>
    <mergeCell ref="C35:F35"/>
    <mergeCell ref="A220:F220"/>
    <mergeCell ref="O234:R234"/>
    <mergeCell ref="O172:R172"/>
    <mergeCell ref="A246:B247"/>
    <mergeCell ref="A78:B81"/>
    <mergeCell ref="O236:R236"/>
    <mergeCell ref="A211:H211"/>
    <mergeCell ref="O94:R94"/>
    <mergeCell ref="O12:R12"/>
    <mergeCell ref="G161:H161"/>
    <mergeCell ref="G24:H25"/>
    <mergeCell ref="A180:F181"/>
    <mergeCell ref="C20:F23"/>
    <mergeCell ref="O247:R247"/>
    <mergeCell ref="O185:R185"/>
    <mergeCell ref="O7:R7"/>
    <mergeCell ref="O78:R78"/>
    <mergeCell ref="O249:R249"/>
    <mergeCell ref="O120:R120"/>
    <mergeCell ref="A3:H3"/>
    <mergeCell ref="G16:H19"/>
    <mergeCell ref="O107:R107"/>
    <mergeCell ref="M1:R2"/>
    <mergeCell ref="G108:H108"/>
    <mergeCell ref="G238:H241"/>
    <mergeCell ref="A159:H159"/>
    <mergeCell ref="G82:H85"/>
    <mergeCell ref="O25:R25"/>
    <mergeCell ref="A169:R169"/>
    <mergeCell ref="O196:R196"/>
    <mergeCell ref="O183:R183"/>
    <mergeCell ref="G198:H198"/>
    <mergeCell ref="C36:F36"/>
    <mergeCell ref="A7:F7"/>
    <mergeCell ref="G180:H181"/>
    <mergeCell ref="O198:R198"/>
    <mergeCell ref="O8:R8"/>
    <mergeCell ref="O244:R244"/>
    <mergeCell ref="A163:F163"/>
    <mergeCell ref="O237:R237"/>
    <mergeCell ref="O3:R3"/>
    <mergeCell ref="O68:R68"/>
    <mergeCell ref="O239:R239"/>
    <mergeCell ref="G162:H162"/>
    <mergeCell ref="O176:R176"/>
    <mergeCell ref="A112:F112"/>
    <mergeCell ref="G72:H75"/>
    <mergeCell ref="G40:H41"/>
    <mergeCell ref="O191:R191"/>
    <mergeCell ref="A117:R117"/>
    <mergeCell ref="A138:B139"/>
    <mergeCell ref="A114:F114"/>
    <mergeCell ref="C72:F75"/>
    <mergeCell ref="A248:F249"/>
    <mergeCell ref="G228:H231"/>
    <mergeCell ref="O128:R128"/>
    <mergeCell ref="O184:R184"/>
    <mergeCell ref="A216:F216"/>
    <mergeCell ref="A228:B231"/>
    <mergeCell ref="O242:R242"/>
    <mergeCell ref="O192:R192"/>
    <mergeCell ref="O21:R21"/>
    <mergeCell ref="A242:B243"/>
    <mergeCell ref="A218:F218"/>
    <mergeCell ref="O173:R173"/>
    <mergeCell ref="O123:R123"/>
    <mergeCell ref="O110:R110"/>
    <mergeCell ref="A40:F41"/>
    <mergeCell ref="G20:H23"/>
    <mergeCell ref="G199:H199"/>
    <mergeCell ref="C86:F86"/>
    <mergeCell ref="A8:F8"/>
    <mergeCell ref="C90:F91"/>
    <mergeCell ref="O34:R34"/>
    <mergeCell ref="O28:R28"/>
    <mergeCell ref="A165:F165"/>
    <mergeCell ref="A34:B35"/>
    <mergeCell ref="A196:F197"/>
    <mergeCell ref="O245:R245"/>
    <mergeCell ref="A10:F10"/>
    <mergeCell ref="A115:F115"/>
    <mergeCell ref="O39:R39"/>
    <mergeCell ref="A172:F175"/>
    <mergeCell ref="O36:R36"/>
    <mergeCell ref="O92:R92"/>
    <mergeCell ref="O30:R30"/>
    <mergeCell ref="C130:F133"/>
    <mergeCell ref="O5:R5"/>
    <mergeCell ref="A166:F166"/>
    <mergeCell ref="O167:R167"/>
    <mergeCell ref="G212:H212"/>
    <mergeCell ref="A168:F168"/>
    <mergeCell ref="A118:H119"/>
    <mergeCell ref="G56:H56"/>
    <mergeCell ref="O217:R217"/>
    <mergeCell ref="G43:H43"/>
    <mergeCell ref="G214:H214"/>
    <mergeCell ref="G186:H189"/>
    <mergeCell ref="O129:R129"/>
    <mergeCell ref="C243:F243"/>
    <mergeCell ref="O194:R194"/>
    <mergeCell ref="A57:F57"/>
    <mergeCell ref="A113:F113"/>
    <mergeCell ref="O181:R181"/>
    <mergeCell ref="O131:R131"/>
    <mergeCell ref="A219:F219"/>
    <mergeCell ref="A128:F129"/>
    <mergeCell ref="O24:R24"/>
    <mergeCell ref="O195:R195"/>
    <mergeCell ref="O18:R18"/>
    <mergeCell ref="O116:R116"/>
    <mergeCell ref="A13:R13"/>
    <mergeCell ref="G232:H233"/>
    <mergeCell ref="C82:F85"/>
    <mergeCell ref="G4:H4"/>
    <mergeCell ref="C228:F231"/>
    <mergeCell ref="A36:B37"/>
    <mergeCell ref="O113:R113"/>
    <mergeCell ref="O84:R84"/>
    <mergeCell ref="A120:F123"/>
    <mergeCell ref="G224:H227"/>
    <mergeCell ref="A110:F110"/>
    <mergeCell ref="G172:H175"/>
    <mergeCell ref="O142:R142"/>
    <mergeCell ref="A192:B193"/>
    <mergeCell ref="O42:R42"/>
    <mergeCell ref="O213:R213"/>
    <mergeCell ref="O80:R80"/>
    <mergeCell ref="A252:R252"/>
    <mergeCell ref="O79:R79"/>
    <mergeCell ref="O144:R144"/>
    <mergeCell ref="A194:B195"/>
    <mergeCell ref="O222:R223"/>
    <mergeCell ref="A26:B29"/>
    <mergeCell ref="O37:R37"/>
    <mergeCell ref="G138:H139"/>
    <mergeCell ref="G57:H57"/>
    <mergeCell ref="A232:F233"/>
    <mergeCell ref="G220:H220"/>
    <mergeCell ref="G140:H141"/>
    <mergeCell ref="G58:H58"/>
    <mergeCell ref="A58:F58"/>
    <mergeCell ref="G110:H110"/>
    <mergeCell ref="O32:R32"/>
    <mergeCell ref="O88:R88"/>
    <mergeCell ref="O63:R63"/>
    <mergeCell ref="O26:R26"/>
    <mergeCell ref="M105:R106"/>
    <mergeCell ref="G215:H215"/>
    <mergeCell ref="O197:R197"/>
    <mergeCell ref="A60:F60"/>
    <mergeCell ref="O74:R74"/>
    <mergeCell ref="O55:R55"/>
    <mergeCell ref="O40:R40"/>
    <mergeCell ref="A149:R156"/>
    <mergeCell ref="O27:R27"/>
    <mergeCell ref="G12:H12"/>
    <mergeCell ref="A107:H107"/>
    <mergeCell ref="A253:R260"/>
    <mergeCell ref="A42:F42"/>
    <mergeCell ref="A213:F213"/>
    <mergeCell ref="A238:B241"/>
    <mergeCell ref="G7:H7"/>
    <mergeCell ref="A134:B137"/>
    <mergeCell ref="A215:F215"/>
    <mergeCell ref="O145:R145"/>
    <mergeCell ref="O216:R216"/>
    <mergeCell ref="A105:L106"/>
    <mergeCell ref="I138:I139"/>
    <mergeCell ref="O147:R147"/>
    <mergeCell ref="A144:F145"/>
    <mergeCell ref="G120:H123"/>
    <mergeCell ref="I140:I141"/>
    <mergeCell ref="C192:F192"/>
    <mergeCell ref="C78:F81"/>
    <mergeCell ref="O134:R134"/>
    <mergeCell ref="G190:H191"/>
    <mergeCell ref="G60:H60"/>
    <mergeCell ref="C186:F189"/>
    <mergeCell ref="O71:R71"/>
    <mergeCell ref="A65:R65"/>
    <mergeCell ref="O58:R58"/>
    <mergeCell ref="A86:B87"/>
    <mergeCell ref="O163:R163"/>
    <mergeCell ref="O170:R171"/>
    <mergeCell ref="G248:H249"/>
    <mergeCell ref="A124:B127"/>
    <mergeCell ref="O73:R73"/>
    <mergeCell ref="O165:R165"/>
    <mergeCell ref="O115:R115"/>
    <mergeCell ref="C34:F34"/>
    <mergeCell ref="O229:R229"/>
    <mergeCell ref="O77:R77"/>
    <mergeCell ref="O160:R160"/>
    <mergeCell ref="A63:F63"/>
    <mergeCell ref="I88:I89"/>
    <mergeCell ref="A45:R52"/>
    <mergeCell ref="O14:R15"/>
    <mergeCell ref="A94:F94"/>
    <mergeCell ref="I192:I193"/>
    <mergeCell ref="O218:R218"/>
    <mergeCell ref="O59:R59"/>
    <mergeCell ref="A66:H67"/>
    <mergeCell ref="O95:R95"/>
    <mergeCell ref="O89:R89"/>
    <mergeCell ref="O61:R61"/>
    <mergeCell ref="O232:R232"/>
    <mergeCell ref="O219:R219"/>
    <mergeCell ref="M53:R54"/>
    <mergeCell ref="G8:H8"/>
    <mergeCell ref="C30:F33"/>
    <mergeCell ref="O90:R90"/>
    <mergeCell ref="A140:B141"/>
    <mergeCell ref="C245:F245"/>
    <mergeCell ref="G10:H10"/>
    <mergeCell ref="G234:H237"/>
    <mergeCell ref="A234:B237"/>
    <mergeCell ref="O10:R10"/>
    <mergeCell ref="A147:F147"/>
    <mergeCell ref="O179:R179"/>
    <mergeCell ref="O250:R250"/>
    <mergeCell ref="G86:H87"/>
    <mergeCell ref="G5:H5"/>
    <mergeCell ref="O166:R166"/>
    <mergeCell ref="G36:H37"/>
    <mergeCell ref="O141:R141"/>
    <mergeCell ref="O66:R67"/>
    <mergeCell ref="O230:R230"/>
    <mergeCell ref="O168:R168"/>
    <mergeCell ref="G38:H39"/>
    <mergeCell ref="O143:R143"/>
    <mergeCell ref="A146:F146"/>
    <mergeCell ref="A6:F6"/>
    <mergeCell ref="G78:H81"/>
    <mergeCell ref="A221:R221"/>
    <mergeCell ref="C37:F37"/>
    <mergeCell ref="A95:F95"/>
    <mergeCell ref="O23:R23"/>
    <mergeCell ref="A97:R104"/>
    <mergeCell ref="A244:B245"/>
    <mergeCell ref="G160:H160"/>
    <mergeCell ref="O121:R121"/>
    <mergeCell ref="A160:F160"/>
    <mergeCell ref="G147:H147"/>
    <mergeCell ref="A5:F5"/>
    <mergeCell ref="O87:R87"/>
    <mergeCell ref="O6:R6"/>
    <mergeCell ref="A161:F161"/>
    <mergeCell ref="A186:B189"/>
    <mergeCell ref="O235:R235"/>
    <mergeCell ref="A82:B85"/>
    <mergeCell ref="G163:H163"/>
    <mergeCell ref="G113:H113"/>
    <mergeCell ref="O93:R93"/>
    <mergeCell ref="G94:H94"/>
    <mergeCell ref="O16:R16"/>
    <mergeCell ref="G34:H35"/>
    <mergeCell ref="G165:H165"/>
    <mergeCell ref="O187:R187"/>
    <mergeCell ref="A250:F250"/>
    <mergeCell ref="O174:R174"/>
    <mergeCell ref="I86:I87"/>
    <mergeCell ref="O251:R251"/>
    <mergeCell ref="A212:F212"/>
    <mergeCell ref="O189:R189"/>
    <mergeCell ref="O238:R238"/>
    <mergeCell ref="A108:F108"/>
    <mergeCell ref="G68:H71"/>
    <mergeCell ref="C26:F29"/>
    <mergeCell ref="O188:R188"/>
    <mergeCell ref="A224:F227"/>
    <mergeCell ref="O126:R126"/>
    <mergeCell ref="O182:R182"/>
    <mergeCell ref="O17:R17"/>
    <mergeCell ref="O82:R82"/>
    <mergeCell ref="A214:F214"/>
    <mergeCell ref="A53:L54"/>
    <mergeCell ref="O11:R11"/>
    <mergeCell ref="O240:R240"/>
    <mergeCell ref="C246:F247"/>
    <mergeCell ref="O111:R111"/>
    <mergeCell ref="A72:B75"/>
    <mergeCell ref="C191:F191"/>
    <mergeCell ref="A9:F9"/>
    <mergeCell ref="O108:R108"/>
    <mergeCell ref="A167:F167"/>
    <mergeCell ref="I34:I35"/>
    <mergeCell ref="A11:F11"/>
    <mergeCell ref="O162:R162"/>
    <mergeCell ref="O137:R137"/>
    <mergeCell ref="O124:R124"/>
    <mergeCell ref="C38:F39"/>
    <mergeCell ref="G176:H179"/>
    <mergeCell ref="O226:R226"/>
    <mergeCell ref="A162:F162"/>
    <mergeCell ref="O139:R139"/>
    <mergeCell ref="O164:R164"/>
    <mergeCell ref="G196:H197"/>
    <mergeCell ref="M209:R210"/>
    <mergeCell ref="G115:H115"/>
    <mergeCell ref="O228:R228"/>
    <mergeCell ref="A164:F164"/>
    <mergeCell ref="G42:H42"/>
    <mergeCell ref="I36:I37"/>
    <mergeCell ref="A14:H15"/>
    <mergeCell ref="C234:F237"/>
    <mergeCell ref="G166:H166"/>
    <mergeCell ref="G30:H33"/>
    <mergeCell ref="A251:F251"/>
    <mergeCell ref="G116:H116"/>
    <mergeCell ref="A116:F116"/>
    <mergeCell ref="O130:R130"/>
    <mergeCell ref="A24:F25"/>
    <mergeCell ref="O19:R19"/>
    <mergeCell ref="O190:R190"/>
    <mergeCell ref="A142:B143"/>
    <mergeCell ref="A109:F109"/>
    <mergeCell ref="C141:F141"/>
    <mergeCell ref="A96:R96"/>
    <mergeCell ref="G167:H167"/>
    <mergeCell ref="O83:R83"/>
    <mergeCell ref="O132:R132"/>
    <mergeCell ref="A16:F19"/>
    <mergeCell ref="A111:F111"/>
    <mergeCell ref="O20:R20"/>
    <mergeCell ref="O125:R125"/>
    <mergeCell ref="O112:R112"/>
    <mergeCell ref="C242:F242"/>
    <mergeCell ref="O22:R22"/>
    <mergeCell ref="O127:R127"/>
    <mergeCell ref="O193:R193"/>
    <mergeCell ref="G63:H63"/>
    <mergeCell ref="O114:R114"/>
    <mergeCell ref="G128:H129"/>
    <mergeCell ref="C244:F244"/>
    <mergeCell ref="O109:R109"/>
    <mergeCell ref="G192:H193"/>
    <mergeCell ref="A12:F12"/>
    <mergeCell ref="O138:R138"/>
    <mergeCell ref="O38:R38"/>
    <mergeCell ref="O76:R76"/>
    <mergeCell ref="G26:H29"/>
    <mergeCell ref="O178:R178"/>
    <mergeCell ref="O140:R140"/>
    <mergeCell ref="A190:B191"/>
    <mergeCell ref="C134:F137"/>
    <mergeCell ref="O186:R186"/>
    <mergeCell ref="G246:H247"/>
    <mergeCell ref="O33:R33"/>
    <mergeCell ref="A43:F43"/>
    <mergeCell ref="A200:R200"/>
    <mergeCell ref="A201:R208"/>
    <mergeCell ref="O231:R231"/>
    <mergeCell ref="A44:R44"/>
    <mergeCell ref="G216:H216"/>
    <mergeCell ref="G109:H109"/>
    <mergeCell ref="O69:R69"/>
    <mergeCell ref="A182:B185"/>
    <mergeCell ref="G218:H218"/>
    <mergeCell ref="O133:R133"/>
    <mergeCell ref="G111:H111"/>
  </mergeCells>
  <dataValidations count="1">
    <dataValidation sqref="J20:N23 J26:N29 J72:N75 J78:N81 J124:N127 J130:N133 J176:N179 J182:N185 J228:N231 J234:N237" showDropDown="0" showInputMessage="1" showErrorMessage="1" allowBlank="1" type="list">
      <formula1>#REF!</formula1>
    </dataValidation>
  </dataValidation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86"/>
  <rowBreaks count="4" manualBreakCount="4">
    <brk id="52" min="0" max="17" man="1"/>
    <brk id="104" min="0" max="17" man="1"/>
    <brk id="156" min="0" max="17" man="1"/>
    <brk id="208" min="0" max="17" man="1"/>
  </rowBreaks>
</worksheet>
</file>

<file path=xl/worksheets/sheet2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V319"/>
  <sheetViews>
    <sheetView view="pageBreakPreview" topLeftCell="A19" zoomScale="110" zoomScaleNormal="80" zoomScaleSheetLayoutView="110" workbookViewId="0">
      <pane xSplit="2" topLeftCell="C1" activePane="topRight" state="frozen"/>
      <selection pane="topRight" activeCell="L33" sqref="L33"/>
    </sheetView>
  </sheetViews>
  <sheetFormatPr baseColWidth="8" defaultColWidth="9.6640625" defaultRowHeight="13"/>
  <cols>
    <col width="4.33203125" customWidth="1" style="571" min="1" max="1"/>
    <col width="4.33203125" customWidth="1" style="688" min="2" max="2"/>
    <col width="9.6640625" customWidth="1" style="571" min="3" max="9"/>
    <col width="9.1640625" customWidth="1" style="571" min="10" max="10"/>
    <col width="5.6640625" customWidth="1" style="571" min="11" max="11"/>
    <col width="9.1640625" customWidth="1" style="571" min="12" max="12"/>
    <col width="5.6640625" customWidth="1" style="571" min="13" max="13"/>
    <col width="17.6640625" customWidth="1" style="571" min="14" max="14"/>
    <col width="7.1640625" customWidth="1" style="571" min="15" max="15"/>
    <col width="9.83203125" bestFit="1" customWidth="1" style="571" min="16" max="16"/>
    <col width="10.6640625" bestFit="1" customWidth="1" style="571" min="17" max="17"/>
    <col width="9.83203125" bestFit="1" customWidth="1" style="571" min="18" max="18"/>
    <col width="9.6640625" customWidth="1" style="571" min="19" max="19"/>
    <col width="9.6640625" customWidth="1" style="571" min="20" max="16384"/>
  </cols>
  <sheetData>
    <row r="1" ht="30" customHeight="1">
      <c r="A1" s="127" t="inlineStr">
        <is>
          <t>筒賀水質管理センター運転管理月報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684" t="inlineStr">
        <is>
          <t>令和8年　   3月分</t>
        </is>
      </c>
      <c r="K1" s="598" t="n"/>
      <c r="L1" s="598" t="n"/>
      <c r="M1" s="598" t="n"/>
      <c r="N1" s="128" t="n"/>
      <c r="O1" s="9" t="n"/>
      <c r="P1" s="9" t="n"/>
      <c r="Q1" s="9" t="n"/>
      <c r="R1" s="9" t="n"/>
      <c r="S1" s="9" t="n"/>
      <c r="T1" s="9" t="n"/>
      <c r="U1" s="9" t="n"/>
      <c r="V1" s="9" t="n"/>
    </row>
    <row r="2" ht="13.5" customHeight="1">
      <c r="A2" s="678" t="inlineStr">
        <is>
          <t>日付</t>
        </is>
      </c>
      <c r="B2" s="678" t="inlineStr">
        <is>
          <t>曜日</t>
        </is>
      </c>
      <c r="C2" s="680" t="inlineStr">
        <is>
          <t>全日電力量読み値</t>
        </is>
      </c>
      <c r="D2" s="680" t="inlineStr">
        <is>
          <t>力測電力量読み値</t>
        </is>
      </c>
      <c r="E2" s="680" t="inlineStr">
        <is>
          <t>無効電力量読み値</t>
        </is>
      </c>
      <c r="F2" s="680" t="inlineStr">
        <is>
          <t>上水使用量読み値</t>
        </is>
      </c>
      <c r="G2" s="589" t="inlineStr">
        <is>
          <t>固形塩素</t>
        </is>
      </c>
      <c r="H2" s="589" t="inlineStr">
        <is>
          <t>脱水ケーキ</t>
        </is>
      </c>
      <c r="I2" s="580" t="n"/>
      <c r="J2" s="589" t="inlineStr">
        <is>
          <t>No.1</t>
        </is>
      </c>
      <c r="K2" s="580" t="n"/>
      <c r="L2" s="589" t="inlineStr">
        <is>
          <t>No.2</t>
        </is>
      </c>
      <c r="M2" s="580" t="n"/>
      <c r="N2" s="680" t="inlineStr">
        <is>
          <t xml:space="preserve"> 放流流量</t>
        </is>
      </c>
      <c r="O2" s="129" t="n"/>
      <c r="P2" s="40" t="n"/>
      <c r="Q2" s="9" t="n"/>
      <c r="R2" s="9" t="n"/>
      <c r="S2" s="9" t="n"/>
      <c r="T2" s="9" t="n"/>
      <c r="U2" s="9" t="n"/>
      <c r="V2" s="9" t="n"/>
    </row>
    <row r="3" ht="18" customHeight="1">
      <c r="A3" s="679" t="n"/>
      <c r="B3" s="679" t="n"/>
      <c r="C3" s="679" t="n"/>
      <c r="D3" s="679" t="n"/>
      <c r="E3" s="679" t="n"/>
      <c r="F3" s="679" t="n"/>
      <c r="G3" s="589" t="inlineStr">
        <is>
          <t>使用量</t>
        </is>
      </c>
      <c r="H3" s="589" t="inlineStr">
        <is>
          <t>発生量</t>
        </is>
      </c>
      <c r="I3" s="589" t="inlineStr">
        <is>
          <t>搬出量</t>
        </is>
      </c>
      <c r="J3" s="589" t="inlineStr">
        <is>
          <t>返送汚泥</t>
        </is>
      </c>
      <c r="K3" s="580" t="n"/>
      <c r="L3" s="589" t="inlineStr">
        <is>
          <t>返送汚泥</t>
        </is>
      </c>
      <c r="M3" s="580" t="n"/>
      <c r="N3" s="679" t="n"/>
      <c r="O3" s="129" t="n"/>
      <c r="P3" s="9" t="n"/>
      <c r="Q3" s="9" t="n"/>
      <c r="R3" s="9" t="n"/>
      <c r="S3" s="9" t="n"/>
      <c r="T3" s="9" t="n"/>
      <c r="U3" s="9" t="n"/>
      <c r="V3" s="9" t="n"/>
    </row>
    <row r="4" ht="18" customHeight="1">
      <c r="A4" s="679" t="n"/>
      <c r="B4" s="679" t="n"/>
      <c r="C4" s="626" t="n"/>
      <c r="D4" s="626" t="n"/>
      <c r="E4" s="626" t="n"/>
      <c r="F4" s="626" t="n"/>
      <c r="G4" s="626" t="n"/>
      <c r="H4" s="626" t="n"/>
      <c r="I4" s="626" t="n"/>
      <c r="J4" s="589" t="inlineStr">
        <is>
          <t>流　　量</t>
        </is>
      </c>
      <c r="K4" s="580" t="n"/>
      <c r="L4" s="589" t="inlineStr">
        <is>
          <t>流　　量</t>
        </is>
      </c>
      <c r="M4" s="580" t="n"/>
      <c r="N4" s="626" t="n"/>
      <c r="O4" s="129" t="n"/>
      <c r="P4" s="9" t="n"/>
      <c r="Q4" s="9" t="n"/>
      <c r="R4" s="9" t="n"/>
      <c r="S4" s="9" t="n"/>
      <c r="T4" s="9" t="n"/>
      <c r="U4" s="9" t="n"/>
      <c r="V4" s="9" t="n"/>
    </row>
    <row r="5" ht="15" customHeight="1" thickBot="1">
      <c r="A5" s="626" t="n"/>
      <c r="B5" s="626" t="n"/>
      <c r="C5" s="606" t="inlineStr">
        <is>
          <t>kwh</t>
        </is>
      </c>
      <c r="D5" s="606" t="inlineStr">
        <is>
          <t>kwh</t>
        </is>
      </c>
      <c r="E5" s="606" t="inlineStr">
        <is>
          <t>kvarh</t>
        </is>
      </c>
      <c r="F5" s="606" t="inlineStr">
        <is>
          <t>㎥</t>
        </is>
      </c>
      <c r="G5" s="606" t="inlineStr">
        <is>
          <t>kg</t>
        </is>
      </c>
      <c r="H5" s="606" t="inlineStr">
        <is>
          <t>ｔ</t>
        </is>
      </c>
      <c r="I5" s="606" t="inlineStr">
        <is>
          <t>ｔ</t>
        </is>
      </c>
      <c r="J5" s="681" t="inlineStr">
        <is>
          <t>㎥</t>
        </is>
      </c>
      <c r="K5" s="682" t="n"/>
      <c r="L5" s="681" t="inlineStr">
        <is>
          <t>㎥</t>
        </is>
      </c>
      <c r="M5" s="682" t="n"/>
      <c r="N5" s="606" t="inlineStr">
        <is>
          <t>㎥</t>
        </is>
      </c>
      <c r="O5" s="130" t="n"/>
      <c r="P5" s="9" t="n"/>
      <c r="Q5" s="9" t="n"/>
      <c r="R5" s="9" t="n"/>
      <c r="S5" s="9" t="n"/>
      <c r="T5" s="9" t="n"/>
      <c r="U5" s="9" t="n"/>
      <c r="V5" s="9" t="n"/>
    </row>
    <row r="6" ht="15" customHeight="1" thickTop="1">
      <c r="A6" s="847" t="n">
        <v>46082</v>
      </c>
      <c r="B6" s="848">
        <f>TEXT(A6,"aaa")</f>
        <v/>
      </c>
      <c r="C6" s="849" t="n"/>
      <c r="D6" s="849" t="n"/>
      <c r="E6" s="849" t="n"/>
      <c r="F6" s="849" t="n"/>
      <c r="G6" s="850" t="n"/>
      <c r="H6" s="134" t="n"/>
      <c r="I6" s="134" t="n"/>
      <c r="J6" s="851" t="n"/>
      <c r="K6" s="852" t="n"/>
      <c r="L6" s="851" t="n"/>
      <c r="M6" s="852" t="n"/>
      <c r="N6" s="850" t="n"/>
      <c r="O6" s="130" t="n"/>
      <c r="P6" s="853" t="n"/>
      <c r="Q6" s="854" t="n"/>
      <c r="R6" s="853" t="n"/>
      <c r="S6" s="9" t="n"/>
      <c r="T6" s="9" t="n"/>
      <c r="U6" s="9" t="n"/>
      <c r="V6" s="9" t="n"/>
    </row>
    <row r="7">
      <c r="A7" s="855">
        <f>A6+1</f>
        <v/>
      </c>
      <c r="B7" s="856">
        <f>TEXT(A7,"aaa")</f>
        <v/>
      </c>
      <c r="C7" s="857" t="n"/>
      <c r="D7" s="857" t="n"/>
      <c r="E7" s="857" t="n"/>
      <c r="F7" s="857" t="n"/>
      <c r="G7" s="858" t="n"/>
      <c r="H7" s="141" t="n"/>
      <c r="I7" s="142" t="n"/>
      <c r="J7" s="859" t="n"/>
      <c r="K7" s="860">
        <f>IF(OR(J7="",J6=""),"",J7-J6)</f>
        <v/>
      </c>
      <c r="L7" s="859" t="n"/>
      <c r="M7" s="860">
        <f>IF(OR(L7="",L6=""),"",L7-L6)</f>
        <v/>
      </c>
      <c r="N7" s="858" t="n"/>
      <c r="O7" s="130" t="n"/>
      <c r="P7" s="9" t="n"/>
      <c r="Q7" s="9" t="n"/>
      <c r="R7" s="9" t="n"/>
      <c r="S7" s="9" t="n"/>
      <c r="T7" s="9" t="n"/>
      <c r="U7" s="9" t="n"/>
      <c r="V7" s="9" t="n"/>
    </row>
    <row r="8">
      <c r="A8" s="855">
        <f>A7+1</f>
        <v/>
      </c>
      <c r="B8" s="856">
        <f>TEXT(A8,"aaa")</f>
        <v/>
      </c>
      <c r="C8" s="857" t="n"/>
      <c r="D8" s="857" t="n"/>
      <c r="E8" s="857" t="n"/>
      <c r="F8" s="857" t="n"/>
      <c r="G8" s="858" t="n"/>
      <c r="H8" s="142" t="n"/>
      <c r="I8" s="142" t="n"/>
      <c r="J8" s="859" t="n"/>
      <c r="K8" s="861">
        <f>IF(OR(J8="",J7=""),"",J8-J7)</f>
        <v/>
      </c>
      <c r="L8" s="859" t="n"/>
      <c r="M8" s="861">
        <f>IF(OR(L8="",L7=""),"",L8-L7)</f>
        <v/>
      </c>
      <c r="N8" s="858" t="n"/>
      <c r="O8" s="130" t="n"/>
      <c r="P8" s="9" t="n"/>
      <c r="Q8" s="9" t="n"/>
      <c r="R8" s="9" t="n"/>
      <c r="S8" s="9" t="n"/>
      <c r="T8" s="9" t="n"/>
      <c r="U8" s="9" t="n"/>
      <c r="V8" s="9" t="n"/>
    </row>
    <row r="9">
      <c r="A9" s="855">
        <f>A8+1</f>
        <v/>
      </c>
      <c r="B9" s="856">
        <f>TEXT(A9,"aaa")</f>
        <v/>
      </c>
      <c r="C9" s="857" t="n"/>
      <c r="D9" s="857" t="n"/>
      <c r="E9" s="857" t="n"/>
      <c r="F9" s="857" t="n"/>
      <c r="G9" s="858" t="n"/>
      <c r="H9" s="142" t="n"/>
      <c r="I9" s="142" t="n"/>
      <c r="J9" s="859" t="n"/>
      <c r="K9" s="861">
        <f>IF(OR(J9="",J8=""),"",J9-J8)</f>
        <v/>
      </c>
      <c r="L9" s="859" t="n"/>
      <c r="M9" s="861">
        <f>IF(OR(L9="",L8=""),"",L9-L8)</f>
        <v/>
      </c>
      <c r="N9" s="858" t="n"/>
      <c r="O9" s="862" t="n"/>
      <c r="P9" s="9" t="n"/>
      <c r="Q9" s="9" t="n"/>
      <c r="R9" s="9" t="n"/>
      <c r="S9" s="9" t="n"/>
      <c r="T9" s="9" t="n"/>
      <c r="U9" s="9" t="n"/>
      <c r="V9" s="9" t="n"/>
    </row>
    <row r="10">
      <c r="A10" s="855">
        <f>A9+1</f>
        <v/>
      </c>
      <c r="B10" s="856">
        <f>TEXT(A10,"aaa")</f>
        <v/>
      </c>
      <c r="C10" s="857" t="n"/>
      <c r="D10" s="857" t="n"/>
      <c r="E10" s="857" t="n"/>
      <c r="F10" s="857" t="n"/>
      <c r="G10" s="858" t="n"/>
      <c r="H10" s="141" t="n"/>
      <c r="I10" s="142" t="n"/>
      <c r="J10" s="859" t="n"/>
      <c r="K10" s="861">
        <f>IF(OR(J10="",J9=""),"",J10-J9)</f>
        <v/>
      </c>
      <c r="L10" s="859" t="n"/>
      <c r="M10" s="861">
        <f>IF(OR(L10="",L9=""),"",L10-L9)</f>
        <v/>
      </c>
      <c r="N10" s="858" t="n"/>
      <c r="O10" s="862" t="n"/>
      <c r="P10" s="9" t="n"/>
      <c r="Q10" s="9" t="n"/>
      <c r="R10" s="9" t="n"/>
      <c r="S10" s="9" t="n"/>
      <c r="T10" s="9" t="n"/>
      <c r="U10" s="9" t="n"/>
      <c r="V10" s="9" t="n"/>
    </row>
    <row r="11">
      <c r="A11" s="855">
        <f>A10+1</f>
        <v/>
      </c>
      <c r="B11" s="856">
        <f>TEXT(A11,"aaa")</f>
        <v/>
      </c>
      <c r="C11" s="857" t="n"/>
      <c r="D11" s="857" t="n"/>
      <c r="E11" s="857" t="n"/>
      <c r="F11" s="857" t="n"/>
      <c r="G11" s="858" t="n"/>
      <c r="H11" s="142" t="n"/>
      <c r="I11" s="142" t="n"/>
      <c r="J11" s="859" t="n"/>
      <c r="K11" s="861">
        <f>IF(OR(J11="",J10=""),"",J11-J10)</f>
        <v/>
      </c>
      <c r="L11" s="859" t="n"/>
      <c r="M11" s="861">
        <f>IF(OR(L11="",L10=""),"",L11-L10)</f>
        <v/>
      </c>
      <c r="N11" s="858" t="n"/>
      <c r="O11" s="862" t="n"/>
      <c r="P11" s="9" t="n"/>
      <c r="Q11" s="9" t="n"/>
      <c r="R11" s="9" t="n"/>
      <c r="S11" s="9" t="n"/>
      <c r="T11" s="9" t="n"/>
      <c r="U11" s="9" t="n"/>
      <c r="V11" s="9" t="n"/>
    </row>
    <row r="12">
      <c r="A12" s="855">
        <f>A11+1</f>
        <v/>
      </c>
      <c r="B12" s="856">
        <f>TEXT(A12,"aaa")</f>
        <v/>
      </c>
      <c r="C12" s="857" t="n"/>
      <c r="D12" s="857" t="n"/>
      <c r="E12" s="857" t="n"/>
      <c r="F12" s="857" t="n"/>
      <c r="G12" s="863" t="n"/>
      <c r="H12" s="141" t="n"/>
      <c r="I12" s="864" t="n"/>
      <c r="J12" s="865" t="n"/>
      <c r="K12" s="861">
        <f>IF(OR(J12="",J11=""),"",J12-J11)</f>
        <v/>
      </c>
      <c r="L12" s="859" t="n"/>
      <c r="M12" s="861">
        <f>IF(OR(L12="",L11=""),"",L12-L11)</f>
        <v/>
      </c>
      <c r="N12" s="858" t="n"/>
      <c r="O12" s="862" t="n"/>
      <c r="P12" s="9" t="n"/>
      <c r="Q12" s="9" t="n"/>
      <c r="R12" s="9" t="n"/>
      <c r="S12" s="9" t="n"/>
      <c r="T12" s="9" t="n"/>
      <c r="U12" s="9" t="n"/>
      <c r="V12" s="9" t="n"/>
    </row>
    <row r="13">
      <c r="A13" s="855">
        <f>A12+1</f>
        <v/>
      </c>
      <c r="B13" s="856">
        <f>TEXT(A13,"aaa")</f>
        <v/>
      </c>
      <c r="C13" s="866" t="n"/>
      <c r="D13" s="857" t="n"/>
      <c r="E13" s="857" t="n"/>
      <c r="F13" s="857" t="n"/>
      <c r="G13" s="867" t="n"/>
      <c r="H13" s="141" t="n"/>
      <c r="I13" s="142" t="n"/>
      <c r="J13" s="865" t="n"/>
      <c r="K13" s="861">
        <f>IF(OR(J13="",J12=""),"",J13-J12)</f>
        <v/>
      </c>
      <c r="L13" s="865" t="n"/>
      <c r="M13" s="861">
        <f>IF(OR(L13="",L12=""),"",L13-L12)</f>
        <v/>
      </c>
      <c r="N13" s="858" t="n"/>
      <c r="O13" s="862" t="n"/>
      <c r="P13" s="9" t="n"/>
      <c r="Q13" s="9" t="n"/>
      <c r="R13" s="9" t="n"/>
      <c r="S13" s="9" t="n"/>
      <c r="T13" s="9" t="n"/>
      <c r="U13" s="9" t="n"/>
      <c r="V13" s="9" t="n"/>
    </row>
    <row r="14">
      <c r="A14" s="855">
        <f>A13+1</f>
        <v/>
      </c>
      <c r="B14" s="856">
        <f>TEXT(A14,"aaa")</f>
        <v/>
      </c>
      <c r="C14" s="857" t="n"/>
      <c r="D14" s="857" t="n"/>
      <c r="E14" s="857" t="n"/>
      <c r="F14" s="857" t="n"/>
      <c r="G14" s="858" t="n"/>
      <c r="H14" s="141" t="n"/>
      <c r="I14" s="141" t="n"/>
      <c r="J14" s="859" t="n"/>
      <c r="K14" s="861">
        <f>IF(OR(J14="",J13=""),"",J14-J13)</f>
        <v/>
      </c>
      <c r="L14" s="865" t="n"/>
      <c r="M14" s="861">
        <f>IF(OR(L14="",L13=""),"",L14-L13)</f>
        <v/>
      </c>
      <c r="N14" s="858" t="n"/>
      <c r="O14" s="862" t="n"/>
      <c r="P14" s="9" t="n"/>
      <c r="Q14" s="9" t="n"/>
      <c r="R14" s="9" t="n"/>
      <c r="S14" s="9" t="n"/>
      <c r="T14" s="9" t="n"/>
      <c r="U14" s="9" t="n"/>
      <c r="V14" s="9" t="n"/>
    </row>
    <row r="15">
      <c r="A15" s="855">
        <f>A14+1</f>
        <v/>
      </c>
      <c r="B15" s="856">
        <f>TEXT(A15,"aaa")</f>
        <v/>
      </c>
      <c r="C15" s="866" t="n"/>
      <c r="D15" s="857" t="n"/>
      <c r="E15" s="857" t="n"/>
      <c r="F15" s="857" t="n"/>
      <c r="G15" s="858" t="n"/>
      <c r="H15" s="142" t="n"/>
      <c r="I15" s="141" t="n"/>
      <c r="J15" s="859" t="n"/>
      <c r="K15" s="861">
        <f>IF(OR(J15="",J14=""),"",J15-J14)</f>
        <v/>
      </c>
      <c r="L15" s="859" t="n"/>
      <c r="M15" s="861">
        <f>IF(OR(L15="",L14=""),"",L15-L14)</f>
        <v/>
      </c>
      <c r="N15" s="858" t="n"/>
      <c r="O15" s="862" t="n"/>
      <c r="P15" s="9" t="n"/>
      <c r="Q15" s="9" t="n"/>
      <c r="R15" s="9" t="n"/>
      <c r="S15" s="9" t="n"/>
      <c r="T15" s="9" t="n"/>
      <c r="U15" s="9" t="n"/>
      <c r="V15" s="9" t="n"/>
    </row>
    <row r="16">
      <c r="A16" s="855">
        <f>A15+1</f>
        <v/>
      </c>
      <c r="B16" s="856">
        <f>TEXT(A16,"aaa")</f>
        <v/>
      </c>
      <c r="C16" s="866" t="n"/>
      <c r="D16" s="857" t="n"/>
      <c r="E16" s="857" t="n"/>
      <c r="F16" s="857" t="n"/>
      <c r="G16" s="858" t="n"/>
      <c r="H16" s="142" t="n"/>
      <c r="I16" s="141" t="n"/>
      <c r="J16" s="859" t="n"/>
      <c r="K16" s="861">
        <f>IF(OR(J16="",J15=""),"",J16-J15)</f>
        <v/>
      </c>
      <c r="L16" s="859" t="n"/>
      <c r="M16" s="861">
        <f>IF(OR(L16="",L15=""),"",L16-L15)</f>
        <v/>
      </c>
      <c r="N16" s="858" t="n"/>
      <c r="O16" s="862" t="n"/>
      <c r="P16" s="9" t="n"/>
      <c r="Q16" s="9" t="n"/>
      <c r="R16" s="9" t="n"/>
      <c r="S16" s="9" t="n"/>
      <c r="T16" s="9" t="n"/>
      <c r="U16" s="9" t="n"/>
      <c r="V16" s="9" t="n"/>
    </row>
    <row r="17">
      <c r="A17" s="855">
        <f>A16+1</f>
        <v/>
      </c>
      <c r="B17" s="856">
        <f>TEXT(A17,"aaa")</f>
        <v/>
      </c>
      <c r="C17" s="857" t="n"/>
      <c r="D17" s="857" t="n"/>
      <c r="E17" s="857" t="n"/>
      <c r="F17" s="857" t="n"/>
      <c r="G17" s="858" t="n"/>
      <c r="H17" s="141" t="n"/>
      <c r="I17" s="141" t="n"/>
      <c r="J17" s="859" t="n"/>
      <c r="K17" s="861">
        <f>IF(OR(J17="",J16=""),"",J17-J16)</f>
        <v/>
      </c>
      <c r="L17" s="859" t="n"/>
      <c r="M17" s="861">
        <f>IF(OR(L17="",L16=""),"",L17-L16)</f>
        <v/>
      </c>
      <c r="N17" s="858" t="n"/>
      <c r="O17" s="862" t="n"/>
      <c r="P17" s="9" t="n"/>
      <c r="Q17" s="9" t="n"/>
      <c r="R17" s="9" t="n"/>
      <c r="S17" s="9" t="n"/>
      <c r="T17" s="9" t="n"/>
      <c r="U17" s="9" t="n"/>
      <c r="V17" s="9" t="n"/>
    </row>
    <row r="18">
      <c r="A18" s="855">
        <f>A17+1</f>
        <v/>
      </c>
      <c r="B18" s="856">
        <f>TEXT(A18,"aaa")</f>
        <v/>
      </c>
      <c r="C18" s="866" t="n"/>
      <c r="D18" s="857" t="n"/>
      <c r="E18" s="857" t="n"/>
      <c r="F18" s="857" t="n"/>
      <c r="G18" s="858" t="n"/>
      <c r="H18" s="141" t="n"/>
      <c r="I18" s="141" t="n"/>
      <c r="J18" s="859" t="n"/>
      <c r="K18" s="861">
        <f>IF(OR(J18="",J17=""),"",J18-J17)</f>
        <v/>
      </c>
      <c r="L18" s="859" t="n"/>
      <c r="M18" s="861">
        <f>IF(OR(L18="",L17=""),"",L18-L17)</f>
        <v/>
      </c>
      <c r="N18" s="858" t="n"/>
      <c r="O18" s="862" t="n"/>
      <c r="P18" s="9" t="n"/>
      <c r="Q18" s="9" t="n"/>
      <c r="R18" s="9" t="n"/>
      <c r="S18" s="9" t="n"/>
      <c r="T18" s="9" t="n"/>
      <c r="U18" s="9" t="n"/>
      <c r="V18" s="9" t="n"/>
    </row>
    <row r="19">
      <c r="A19" s="855">
        <f>A18+1</f>
        <v/>
      </c>
      <c r="B19" s="856">
        <f>TEXT(A19,"aaa")</f>
        <v/>
      </c>
      <c r="C19" s="866" t="n"/>
      <c r="D19" s="857" t="n"/>
      <c r="E19" s="857" t="n"/>
      <c r="F19" s="857" t="n"/>
      <c r="G19" s="858" t="n"/>
      <c r="H19" s="142" t="n"/>
      <c r="I19" s="141" t="n"/>
      <c r="J19" s="865" t="n"/>
      <c r="K19" s="861">
        <f>IF(OR(J19="",J18=""),"",J19-J18)</f>
        <v/>
      </c>
      <c r="L19" s="859" t="n"/>
      <c r="M19" s="861">
        <f>IF(OR(L19="",L18=""),"",L19-L18)</f>
        <v/>
      </c>
      <c r="N19" s="858" t="n"/>
      <c r="O19" s="862" t="n"/>
      <c r="P19" s="9" t="n"/>
      <c r="Q19" s="9" t="n"/>
      <c r="R19" s="9" t="n"/>
      <c r="S19" s="9" t="n"/>
      <c r="T19" s="9" t="n"/>
      <c r="U19" s="9" t="n"/>
      <c r="V19" s="9" t="n"/>
    </row>
    <row r="20">
      <c r="A20" s="855">
        <f>A19+1</f>
        <v/>
      </c>
      <c r="B20" s="856">
        <f>TEXT(A20,"aaa")</f>
        <v/>
      </c>
      <c r="C20" s="857" t="n"/>
      <c r="D20" s="857" t="n"/>
      <c r="E20" s="857" t="n"/>
      <c r="F20" s="857" t="n"/>
      <c r="G20" s="858" t="n"/>
      <c r="H20" s="141" t="n"/>
      <c r="I20" s="141" t="n"/>
      <c r="J20" s="865" t="n"/>
      <c r="K20" s="861">
        <f>IF(OR(J20="",J19=""),"",J20-J19)</f>
        <v/>
      </c>
      <c r="L20" s="865" t="n"/>
      <c r="M20" s="861">
        <f>IF(OR(L20="",L19=""),"",L20-L19)</f>
        <v/>
      </c>
      <c r="N20" s="858" t="n"/>
      <c r="O20" s="862" t="n"/>
      <c r="P20" s="9" t="n"/>
      <c r="Q20" s="9" t="n"/>
      <c r="R20" s="9" t="n"/>
      <c r="S20" s="9" t="n"/>
      <c r="T20" s="9" t="n"/>
      <c r="U20" s="9" t="n"/>
      <c r="V20" s="9" t="n"/>
    </row>
    <row r="21">
      <c r="A21" s="855">
        <f>A20+1</f>
        <v/>
      </c>
      <c r="B21" s="856">
        <f>TEXT(A21,"aaa")</f>
        <v/>
      </c>
      <c r="C21" s="857" t="n"/>
      <c r="D21" s="857" t="n"/>
      <c r="E21" s="857" t="n"/>
      <c r="F21" s="857" t="n"/>
      <c r="G21" s="858" t="n"/>
      <c r="H21" s="142" t="n"/>
      <c r="I21" s="141" t="n"/>
      <c r="J21" s="859" t="n"/>
      <c r="K21" s="861">
        <f>IF(OR(J21="",J20=""),"",J21-J20)</f>
        <v/>
      </c>
      <c r="L21" s="865" t="n"/>
      <c r="M21" s="861">
        <f>IF(OR(L21="",L20=""),"",L21-L20)</f>
        <v/>
      </c>
      <c r="N21" s="858" t="n"/>
      <c r="O21" s="862" t="n"/>
      <c r="P21" s="9" t="n"/>
      <c r="Q21" s="9" t="n"/>
      <c r="R21" s="9" t="n"/>
      <c r="S21" s="9" t="n"/>
      <c r="T21" s="9" t="n"/>
      <c r="U21" s="9" t="n"/>
      <c r="V21" s="9" t="n"/>
    </row>
    <row r="22">
      <c r="A22" s="855">
        <f>A21+1</f>
        <v/>
      </c>
      <c r="B22" s="856">
        <f>TEXT(A22,"aaa")</f>
        <v/>
      </c>
      <c r="C22" s="857" t="n"/>
      <c r="D22" s="857" t="n"/>
      <c r="E22" s="857" t="n"/>
      <c r="F22" s="857" t="n"/>
      <c r="G22" s="858" t="n"/>
      <c r="H22" s="141" t="n"/>
      <c r="I22" s="141" t="n"/>
      <c r="J22" s="859" t="n"/>
      <c r="K22" s="861">
        <f>IF(OR(J22="",J21=""),"",J22-J21)</f>
        <v/>
      </c>
      <c r="L22" s="859" t="n"/>
      <c r="M22" s="861">
        <f>IF(OR(L22="",L21=""),"",L22-L21)</f>
        <v/>
      </c>
      <c r="N22" s="858" t="n"/>
      <c r="O22" s="862" t="n"/>
      <c r="P22" s="9" t="n"/>
      <c r="Q22" s="9" t="n"/>
      <c r="R22" s="9" t="n"/>
      <c r="S22" s="9" t="n"/>
      <c r="T22" s="9" t="n"/>
      <c r="U22" s="9" t="n"/>
      <c r="V22" s="9" t="n"/>
    </row>
    <row r="23">
      <c r="A23" s="855">
        <f>A22+1</f>
        <v/>
      </c>
      <c r="B23" s="856">
        <f>TEXT(A23,"aaa")</f>
        <v/>
      </c>
      <c r="C23" s="857" t="n"/>
      <c r="D23" s="857" t="n"/>
      <c r="E23" s="857" t="n"/>
      <c r="F23" s="857" t="n"/>
      <c r="G23" s="858" t="n"/>
      <c r="H23" s="142" t="n"/>
      <c r="I23" s="141" t="n"/>
      <c r="J23" s="859" t="n"/>
      <c r="K23" s="861">
        <f>IF(OR(J23="",J22=""),"",J23-J22)</f>
        <v/>
      </c>
      <c r="L23" s="859" t="n"/>
      <c r="M23" s="861">
        <f>IF(OR(L23="",L22=""),"",L23-L22)</f>
        <v/>
      </c>
      <c r="N23" s="858" t="n"/>
      <c r="O23" s="862" t="n"/>
      <c r="P23" s="9" t="n"/>
      <c r="Q23" s="9" t="n"/>
      <c r="R23" s="9" t="n"/>
      <c r="S23" s="9" t="n"/>
      <c r="T23" s="9" t="n"/>
      <c r="U23" s="9" t="n"/>
      <c r="V23" s="9" t="n"/>
    </row>
    <row r="24">
      <c r="A24" s="855">
        <f>A23+1</f>
        <v/>
      </c>
      <c r="B24" s="856">
        <f>TEXT(A24,"aaa")</f>
        <v/>
      </c>
      <c r="C24" s="857" t="n"/>
      <c r="D24" s="857" t="n"/>
      <c r="E24" s="857" t="n"/>
      <c r="F24" s="857" t="n"/>
      <c r="G24" s="858" t="n"/>
      <c r="H24" s="142" t="n"/>
      <c r="I24" s="141" t="n"/>
      <c r="J24" s="859" t="n"/>
      <c r="K24" s="861">
        <f>IF(OR(J24="",J23=""),"",J24-J23)</f>
        <v/>
      </c>
      <c r="L24" s="859" t="n"/>
      <c r="M24" s="861">
        <f>IF(OR(L24="",L23=""),"",L24-L23)</f>
        <v/>
      </c>
      <c r="N24" s="858" t="n"/>
      <c r="O24" s="862" t="n"/>
      <c r="P24" s="9" t="n"/>
      <c r="Q24" s="9" t="n"/>
      <c r="R24" s="9" t="n"/>
      <c r="S24" s="9" t="n"/>
      <c r="T24" s="9" t="n"/>
      <c r="U24" s="9" t="n"/>
      <c r="V24" s="9" t="n"/>
    </row>
    <row r="25">
      <c r="A25" s="855">
        <f>A24+1</f>
        <v/>
      </c>
      <c r="B25" s="856">
        <f>TEXT(A25,"aaa")</f>
        <v/>
      </c>
      <c r="C25" s="857" t="n"/>
      <c r="D25" s="857" t="n"/>
      <c r="E25" s="857" t="n"/>
      <c r="F25" s="857" t="n"/>
      <c r="G25" s="858" t="n"/>
      <c r="H25" s="142" t="n"/>
      <c r="I25" s="142" t="n"/>
      <c r="J25" s="859" t="n"/>
      <c r="K25" s="861">
        <f>IF(OR(J25="",J24=""),"",J25-J24)</f>
        <v/>
      </c>
      <c r="L25" s="859" t="n"/>
      <c r="M25" s="861">
        <f>IF(OR(L25="",L24=""),"",L25-L24)</f>
        <v/>
      </c>
      <c r="N25" s="858" t="n"/>
      <c r="O25" s="862" t="n"/>
      <c r="P25" s="9" t="n"/>
      <c r="Q25" s="9" t="n"/>
      <c r="R25" s="9" t="n"/>
      <c r="S25" s="9" t="n"/>
      <c r="T25" s="9" t="n"/>
      <c r="U25" s="9" t="n"/>
      <c r="V25" s="9" t="n"/>
    </row>
    <row r="26">
      <c r="A26" s="855">
        <f>A25+1</f>
        <v/>
      </c>
      <c r="B26" s="856">
        <f>TEXT(A26,"aaa")</f>
        <v/>
      </c>
      <c r="C26" s="857" t="n"/>
      <c r="D26" s="857" t="n"/>
      <c r="E26" s="857" t="n"/>
      <c r="F26" s="857" t="n"/>
      <c r="G26" s="858" t="n"/>
      <c r="H26" s="141" t="n"/>
      <c r="I26" s="141" t="n"/>
      <c r="J26" s="865" t="n"/>
      <c r="K26" s="861">
        <f>IF(OR(J26="",J25=""),"",J26-J25)</f>
        <v/>
      </c>
      <c r="L26" s="859" t="n"/>
      <c r="M26" s="861">
        <f>IF(OR(L26="",L25=""),"",L26-L25)</f>
        <v/>
      </c>
      <c r="N26" s="858" t="n"/>
      <c r="O26" s="862" t="n"/>
      <c r="P26" s="9" t="n"/>
      <c r="Q26" s="9" t="n"/>
      <c r="R26" s="9" t="n"/>
      <c r="S26" s="9" t="n"/>
      <c r="T26" s="9" t="n"/>
      <c r="U26" s="9" t="n"/>
      <c r="V26" s="9" t="n"/>
    </row>
    <row r="27">
      <c r="A27" s="855">
        <f>A26+1</f>
        <v/>
      </c>
      <c r="B27" s="856">
        <f>TEXT(A27,"aaa")</f>
        <v/>
      </c>
      <c r="C27" s="857" t="n"/>
      <c r="D27" s="857" t="n"/>
      <c r="E27" s="857" t="n"/>
      <c r="F27" s="857" t="n"/>
      <c r="G27" s="858" t="n"/>
      <c r="H27" s="141" t="n"/>
      <c r="I27" s="142" t="n"/>
      <c r="J27" s="865" t="n"/>
      <c r="K27" s="861">
        <f>IF(OR(J27="",J26=""),"",J27-J26)</f>
        <v/>
      </c>
      <c r="L27" s="865" t="n"/>
      <c r="M27" s="861">
        <f>IF(OR(L27="",L26=""),"",L27-L26)</f>
        <v/>
      </c>
      <c r="N27" s="858" t="n"/>
      <c r="O27" s="72" t="n"/>
      <c r="P27" s="868" t="n"/>
      <c r="Q27" s="868" t="n"/>
      <c r="R27" s="9" t="n"/>
      <c r="S27" s="9" t="n"/>
      <c r="T27" s="9" t="n"/>
      <c r="U27" s="9" t="n"/>
      <c r="V27" s="153" t="n"/>
    </row>
    <row r="28">
      <c r="A28" s="855">
        <f>A27+1</f>
        <v/>
      </c>
      <c r="B28" s="856">
        <f>TEXT(A28,"aaa")</f>
        <v/>
      </c>
      <c r="C28" s="857" t="n"/>
      <c r="D28" s="857" t="n"/>
      <c r="E28" s="857" t="n"/>
      <c r="F28" s="857" t="n"/>
      <c r="G28" s="858" t="n"/>
      <c r="H28" s="142" t="n"/>
      <c r="I28" s="141" t="n"/>
      <c r="J28" s="859" t="n"/>
      <c r="K28" s="861">
        <f>IF(OR(J28="",J27=""),"",J28-J27)</f>
        <v/>
      </c>
      <c r="L28" s="865" t="n"/>
      <c r="M28" s="861">
        <f>IF(OR(L28="",L27=""),"",L28-L27)</f>
        <v/>
      </c>
      <c r="N28" s="858" t="n"/>
      <c r="O28" s="72" t="n"/>
      <c r="P28" s="9" t="n"/>
      <c r="Q28" s="9" t="n"/>
      <c r="R28" s="9" t="n"/>
      <c r="S28" s="9" t="n"/>
      <c r="T28" s="9" t="n"/>
      <c r="U28" s="9" t="n"/>
      <c r="V28" s="9" t="n"/>
    </row>
    <row r="29">
      <c r="A29" s="855">
        <f>A28+1</f>
        <v/>
      </c>
      <c r="B29" s="856">
        <f>TEXT(A29,"aaa")</f>
        <v/>
      </c>
      <c r="C29" s="857" t="n"/>
      <c r="D29" s="857" t="n"/>
      <c r="E29" s="857" t="n"/>
      <c r="F29" s="857" t="n"/>
      <c r="G29" s="858" t="n"/>
      <c r="H29" s="141" t="n"/>
      <c r="I29" s="141" t="n"/>
      <c r="J29" s="859" t="n"/>
      <c r="K29" s="861">
        <f>IF(OR(J29="",J28=""),"",J29-J28)</f>
        <v/>
      </c>
      <c r="L29" s="859" t="n"/>
      <c r="M29" s="861">
        <f>IF(OR(L29="",L28=""),"",L29-L28)</f>
        <v/>
      </c>
      <c r="N29" s="858" t="n"/>
      <c r="O29" s="72" t="n"/>
      <c r="P29" s="9" t="n"/>
      <c r="Q29" s="9" t="n"/>
      <c r="R29" s="9" t="n"/>
      <c r="S29" s="9" t="n"/>
      <c r="T29" s="9" t="n"/>
      <c r="U29" s="9" t="n"/>
      <c r="V29" s="9" t="n"/>
    </row>
    <row r="30">
      <c r="A30" s="855">
        <f>A29+1</f>
        <v/>
      </c>
      <c r="B30" s="856">
        <f>TEXT(A30,"aaa")</f>
        <v/>
      </c>
      <c r="C30" s="857" t="n"/>
      <c r="D30" s="857" t="n"/>
      <c r="E30" s="857" t="n"/>
      <c r="F30" s="857" t="n"/>
      <c r="G30" s="858" t="n"/>
      <c r="H30" s="141" t="n"/>
      <c r="I30" s="141" t="n"/>
      <c r="J30" s="859" t="n"/>
      <c r="K30" s="861">
        <f>IF(OR(J30="",J29=""),"",J30-J29)</f>
        <v/>
      </c>
      <c r="L30" s="859" t="n"/>
      <c r="M30" s="861">
        <f>IF(OR(L30="",L29=""),"",L30-L29)</f>
        <v/>
      </c>
      <c r="N30" s="858" t="n"/>
      <c r="O30" s="869" t="n"/>
      <c r="P30" s="9" t="n"/>
      <c r="Q30" s="9" t="n"/>
      <c r="R30" s="9" t="n"/>
      <c r="S30" s="9" t="n"/>
      <c r="T30" s="9" t="n"/>
      <c r="U30" s="9" t="n"/>
      <c r="V30" s="9" t="n"/>
    </row>
    <row r="31">
      <c r="A31" s="855">
        <f>A30+1</f>
        <v/>
      </c>
      <c r="B31" s="856">
        <f>TEXT(A31,"aaa")</f>
        <v/>
      </c>
      <c r="C31" s="857" t="n"/>
      <c r="D31" s="857" t="n"/>
      <c r="E31" s="857" t="n"/>
      <c r="F31" s="857" t="n"/>
      <c r="G31" s="858" t="n"/>
      <c r="H31" s="141" t="n"/>
      <c r="I31" s="141" t="n"/>
      <c r="J31" s="859" t="n"/>
      <c r="K31" s="861">
        <f>IF(OR(J31="",J30=""),"",J31-J30)</f>
        <v/>
      </c>
      <c r="L31" s="859" t="n"/>
      <c r="M31" s="861">
        <f>IF(OR(L31="",L30=""),"",L31-L30)</f>
        <v/>
      </c>
      <c r="N31" s="858" t="n"/>
      <c r="O31" s="869" t="n"/>
      <c r="P31" s="9" t="n"/>
      <c r="Q31" s="9" t="n"/>
      <c r="R31" s="9" t="n"/>
      <c r="S31" s="9" t="n"/>
      <c r="T31" s="9" t="n"/>
      <c r="U31" s="9" t="n"/>
      <c r="V31" s="9" t="n"/>
    </row>
    <row r="32">
      <c r="A32" s="855">
        <f>A31+1</f>
        <v/>
      </c>
      <c r="B32" s="856">
        <f>TEXT(A32,"aaa")</f>
        <v/>
      </c>
      <c r="C32" s="857" t="n"/>
      <c r="D32" s="857" t="n"/>
      <c r="E32" s="857" t="n"/>
      <c r="F32" s="857" t="n"/>
      <c r="G32" s="858" t="n"/>
      <c r="H32" s="141" t="n"/>
      <c r="I32" s="141" t="n"/>
      <c r="J32" s="859" t="n"/>
      <c r="K32" s="861">
        <f>IF(OR(J32="",J31=""),"",J32-J31)</f>
        <v/>
      </c>
      <c r="L32" s="859" t="n"/>
      <c r="M32" s="861">
        <f>IF(OR(L32="",L31=""),"",L32-L31)</f>
        <v/>
      </c>
      <c r="N32" s="858" t="n"/>
      <c r="O32" s="869" t="n"/>
      <c r="P32" s="40" t="n"/>
      <c r="Q32" s="9" t="n"/>
      <c r="R32" s="9" t="n"/>
      <c r="S32" s="9" t="n"/>
      <c r="T32" s="9" t="n"/>
      <c r="U32" s="9" t="n"/>
      <c r="V32" s="9" t="n"/>
    </row>
    <row r="33">
      <c r="A33" s="855">
        <f>A32+1</f>
        <v/>
      </c>
      <c r="B33" s="856">
        <f>TEXT(A33,"aaa")</f>
        <v/>
      </c>
      <c r="C33" s="857" t="n"/>
      <c r="D33" s="857" t="n"/>
      <c r="E33" s="857" t="n"/>
      <c r="F33" s="857" t="n"/>
      <c r="G33" s="858" t="n"/>
      <c r="H33" s="141" t="n"/>
      <c r="I33" s="141" t="n"/>
      <c r="J33" s="859" t="n"/>
      <c r="K33" s="861">
        <f>IF(OR(J33="",J32=""),"",J33-J32)</f>
        <v/>
      </c>
      <c r="L33" s="859" t="n"/>
      <c r="M33" s="861">
        <f>IF(OR(L33="",L32=""),"",L33-L32)</f>
        <v/>
      </c>
      <c r="N33" s="858" t="n"/>
      <c r="O33" s="869" t="n"/>
      <c r="P33" s="40" t="n"/>
      <c r="Q33" s="9" t="n"/>
      <c r="R33" s="9" t="n"/>
      <c r="S33" s="9" t="n"/>
      <c r="T33" s="9" t="n"/>
      <c r="U33" s="9" t="n"/>
      <c r="V33" s="9" t="n"/>
    </row>
    <row r="34" hidden="1">
      <c r="A34" s="855">
        <f>A33+1</f>
        <v/>
      </c>
      <c r="B34" s="856">
        <f>TEXT(A34,"aaa")</f>
        <v/>
      </c>
      <c r="C34" s="857" t="n"/>
      <c r="D34" s="857" t="n"/>
      <c r="E34" s="857" t="n"/>
      <c r="F34" s="857" t="n"/>
      <c r="G34" s="858" t="n"/>
      <c r="H34" s="141" t="n"/>
      <c r="I34" s="141" t="n"/>
      <c r="J34" s="859" t="n"/>
      <c r="K34" s="861">
        <f>IF(OR(J34="",J33=""),"",J34-J33)</f>
        <v/>
      </c>
      <c r="L34" s="859" t="n"/>
      <c r="M34" s="861">
        <f>IF(OR(L34="",L33=""),"",L34-L33)</f>
        <v/>
      </c>
      <c r="N34" s="858" t="n"/>
      <c r="O34" s="869" t="n"/>
      <c r="P34" s="9" t="n"/>
      <c r="Q34" s="9" t="n"/>
      <c r="R34" s="9" t="n"/>
      <c r="S34" s="9" t="n"/>
      <c r="T34" s="9" t="n"/>
      <c r="U34" s="9" t="n"/>
      <c r="V34" s="9" t="n"/>
    </row>
    <row r="35" hidden="1" ht="13" customHeight="1">
      <c r="A35" s="855">
        <f>A34+1</f>
        <v/>
      </c>
      <c r="B35" s="856">
        <f>TEXT(A35,"aaa")</f>
        <v/>
      </c>
      <c r="C35" s="857" t="n"/>
      <c r="D35" s="857" t="n"/>
      <c r="E35" s="857" t="n"/>
      <c r="F35" s="857" t="n"/>
      <c r="G35" s="858" t="n"/>
      <c r="H35" s="141" t="n"/>
      <c r="I35" s="141" t="n"/>
      <c r="J35" s="859" t="n"/>
      <c r="K35" s="861">
        <f>IF(OR(J35="",J34=""),"",J35-J34)</f>
        <v/>
      </c>
      <c r="L35" s="859" t="n"/>
      <c r="M35" s="861">
        <f>IF(OR(L35="",L34=""),"",L35-L34)</f>
        <v/>
      </c>
      <c r="N35" s="858" t="n"/>
      <c r="O35" s="72" t="n"/>
      <c r="P35" s="9" t="n"/>
      <c r="Q35" s="9" t="n"/>
      <c r="R35" s="9" t="n"/>
      <c r="S35" s="9" t="n"/>
      <c r="T35" s="9" t="n"/>
      <c r="U35" s="9" t="n"/>
      <c r="V35" s="9" t="n"/>
    </row>
    <row r="36" hidden="1" ht="13" customHeight="1" thickBot="1">
      <c r="A36" s="855">
        <f>A35+1</f>
        <v/>
      </c>
      <c r="B36" s="870">
        <f>TEXT(A36,"aaa")</f>
        <v/>
      </c>
      <c r="C36" s="871" t="n"/>
      <c r="D36" s="871" t="n"/>
      <c r="E36" s="871" t="n"/>
      <c r="F36" s="871" t="n"/>
      <c r="G36" s="157" t="n"/>
      <c r="H36" s="158" t="n"/>
      <c r="I36" s="158" t="n"/>
      <c r="J36" s="859" t="n"/>
      <c r="K36" s="861">
        <f>IF(OR(J36="",J35=""),"",J36-J35)</f>
        <v/>
      </c>
      <c r="L36" s="859" t="n"/>
      <c r="M36" s="861">
        <f>IF(OR(L36="",L35=""),"",L36-L35)</f>
        <v/>
      </c>
      <c r="N36" s="872" t="n"/>
      <c r="O36" s="72" t="n"/>
      <c r="P36" s="9" t="n"/>
      <c r="Q36" s="9" t="n"/>
      <c r="R36" s="9" t="n"/>
      <c r="S36" s="9" t="n"/>
      <c r="T36" s="9" t="n"/>
      <c r="U36" s="9" t="n"/>
      <c r="V36" s="9" t="n"/>
    </row>
    <row r="37" ht="13" customHeight="1">
      <c r="A37" s="873" t="n">
        <v>46110</v>
      </c>
      <c r="B37" s="856" t="inlineStr">
        <is>
          <t>日</t>
        </is>
      </c>
      <c r="C37" s="857" t="n"/>
      <c r="D37" s="857" t="n"/>
      <c r="E37" s="857" t="n"/>
      <c r="F37" s="857" t="n"/>
      <c r="G37" s="142" t="n"/>
      <c r="H37" s="141" t="n"/>
      <c r="I37" s="141" t="n"/>
      <c r="J37" s="851" t="n"/>
      <c r="K37" s="874">
        <f>IF(OR(J37="",J36=""),"",J37-J36)</f>
        <v/>
      </c>
      <c r="L37" s="851" t="n"/>
      <c r="M37" s="874">
        <f>IF(OR(L37="",L36=""),"",L37-L36)</f>
        <v/>
      </c>
      <c r="N37" s="858" t="n"/>
      <c r="O37" s="72" t="n"/>
      <c r="P37" s="9" t="n"/>
      <c r="Q37" s="9" t="n"/>
      <c r="R37" s="9" t="n"/>
      <c r="S37" s="9" t="n"/>
      <c r="T37" s="9" t="n"/>
      <c r="U37" s="9" t="n"/>
      <c r="V37" s="9" t="n"/>
    </row>
    <row r="38" ht="13" customHeight="1">
      <c r="A38" s="873" t="n">
        <v>46111</v>
      </c>
      <c r="B38" s="856" t="inlineStr">
        <is>
          <t>月</t>
        </is>
      </c>
      <c r="C38" s="857" t="n"/>
      <c r="D38" s="857" t="n"/>
      <c r="E38" s="857" t="n"/>
      <c r="F38" s="857" t="n"/>
      <c r="G38" s="142" t="n"/>
      <c r="H38" s="141" t="n"/>
      <c r="I38" s="141" t="n"/>
      <c r="J38" s="851" t="n"/>
      <c r="K38" s="861">
        <f>IF(OR(J38="",J37=""),"",J38-J37)</f>
        <v/>
      </c>
      <c r="L38" s="851" t="n"/>
      <c r="M38" s="861">
        <f>IF(OR(L38="",L37=""),"",L38-L37)</f>
        <v/>
      </c>
      <c r="N38" s="858" t="n"/>
      <c r="O38" s="72" t="n"/>
      <c r="P38" s="9" t="n"/>
      <c r="Q38" s="9" t="n"/>
      <c r="R38" s="9" t="n"/>
      <c r="S38" s="9" t="n"/>
      <c r="T38" s="9" t="n"/>
      <c r="U38" s="9" t="n"/>
      <c r="V38" s="9" t="n"/>
    </row>
    <row r="39" ht="13" customHeight="1" thickBot="1">
      <c r="A39" s="873" t="n">
        <v>46112</v>
      </c>
      <c r="B39" s="875" t="inlineStr">
        <is>
          <t>火</t>
        </is>
      </c>
      <c r="C39" s="871" t="n"/>
      <c r="D39" s="871" t="n"/>
      <c r="E39" s="871" t="n"/>
      <c r="F39" s="871" t="n"/>
      <c r="G39" s="157" t="n"/>
      <c r="H39" s="158" t="n"/>
      <c r="I39" s="158" t="n"/>
      <c r="J39" s="851" t="n"/>
      <c r="K39" s="874">
        <f>IF(OR(J39="",J38=""),"",J39-J38)</f>
        <v/>
      </c>
      <c r="L39" s="851" t="n"/>
      <c r="M39" s="874">
        <f>IF(OR(L39="",L38=""),"",L39-L38)</f>
        <v/>
      </c>
      <c r="N39" s="872" t="n"/>
      <c r="O39" s="72" t="n"/>
      <c r="P39" s="9" t="n"/>
      <c r="Q39" s="9" t="n"/>
      <c r="R39" s="9" t="n"/>
      <c r="S39" s="9" t="n"/>
      <c r="T39" s="9" t="n"/>
      <c r="U39" s="9" t="n"/>
      <c r="V39" s="9" t="n"/>
    </row>
    <row r="40" ht="15" customHeight="1" thickTop="1">
      <c r="A40" s="685" t="inlineStr">
        <is>
          <t>最大</t>
        </is>
      </c>
      <c r="B40" s="686" t="n"/>
      <c r="C40" s="163" t="inlineStr">
        <is>
          <t>－</t>
        </is>
      </c>
      <c r="D40" s="163" t="inlineStr">
        <is>
          <t>－</t>
        </is>
      </c>
      <c r="E40" s="163" t="inlineStr">
        <is>
          <t>－</t>
        </is>
      </c>
      <c r="F40" s="163" t="inlineStr">
        <is>
          <t>－</t>
        </is>
      </c>
      <c r="G40" s="850">
        <f>IFERROR(MAX(G6:G39),"")</f>
        <v/>
      </c>
      <c r="H40" s="164">
        <f>IFERROR(MAX(H6:H39),"")</f>
        <v/>
      </c>
      <c r="I40" s="164">
        <f>IFERROR(MAX(I6:I39),"")</f>
        <v/>
      </c>
      <c r="J40" s="165" t="inlineStr">
        <is>
          <t>－</t>
        </is>
      </c>
      <c r="K40" s="850">
        <f>IFERROR(MAX(K6:K39),"")</f>
        <v/>
      </c>
      <c r="L40" s="165" t="inlineStr">
        <is>
          <t>－</t>
        </is>
      </c>
      <c r="M40" s="850">
        <f>IFERROR(MAX(M6:M39),"")</f>
        <v/>
      </c>
      <c r="N40" s="164">
        <f>IFERROR(MAX(N6:N39),"")</f>
        <v/>
      </c>
      <c r="O40" s="166" t="n"/>
      <c r="P40" s="9" t="n"/>
      <c r="Q40" s="9" t="n"/>
      <c r="R40" s="9" t="n"/>
      <c r="S40" s="9" t="n"/>
      <c r="T40" s="9" t="n"/>
      <c r="U40" s="9" t="n"/>
      <c r="V40" s="9" t="n"/>
    </row>
    <row r="41" ht="18" customHeight="1">
      <c r="A41" s="589" t="inlineStr">
        <is>
          <t>平均</t>
        </is>
      </c>
      <c r="B41" s="580" t="n"/>
      <c r="C41" s="167" t="inlineStr">
        <is>
          <t>－</t>
        </is>
      </c>
      <c r="D41" s="167" t="inlineStr">
        <is>
          <t>－</t>
        </is>
      </c>
      <c r="E41" s="167" t="inlineStr">
        <is>
          <t>－</t>
        </is>
      </c>
      <c r="F41" s="167" t="inlineStr">
        <is>
          <t>－</t>
        </is>
      </c>
      <c r="G41" s="863">
        <f>IFERROR(AVERAGE(G6:G39),"")</f>
        <v/>
      </c>
      <c r="H41" s="168">
        <f>IFERROR(AVERAGE(H6:H39),"")</f>
        <v/>
      </c>
      <c r="I41" s="168">
        <f>IFERROR(AVERAGE(I6:I39),"")</f>
        <v/>
      </c>
      <c r="J41" s="167" t="inlineStr">
        <is>
          <t>－</t>
        </is>
      </c>
      <c r="K41" s="863">
        <f>IFERROR(AVERAGE(K6:K39),"")</f>
        <v/>
      </c>
      <c r="L41" s="167" t="inlineStr">
        <is>
          <t>－</t>
        </is>
      </c>
      <c r="M41" s="863">
        <f>IFERROR(AVERAGE(M6:M39),"")</f>
        <v/>
      </c>
      <c r="N41" s="168">
        <f>IFERROR(AVERAGE(N6:N39),"")</f>
        <v/>
      </c>
      <c r="O41" s="166" t="n"/>
      <c r="P41" s="9" t="n"/>
      <c r="Q41" s="9" t="n"/>
      <c r="R41" s="9" t="n"/>
      <c r="S41" s="9" t="n"/>
      <c r="T41" s="9" t="n"/>
      <c r="U41" s="9" t="n"/>
      <c r="V41" s="9" t="n"/>
    </row>
    <row r="42" ht="18" customHeight="1">
      <c r="A42" s="589" t="inlineStr">
        <is>
          <t>最小</t>
        </is>
      </c>
      <c r="B42" s="580" t="n"/>
      <c r="C42" s="167" t="inlineStr">
        <is>
          <t>－</t>
        </is>
      </c>
      <c r="D42" s="167" t="inlineStr">
        <is>
          <t>－</t>
        </is>
      </c>
      <c r="E42" s="167" t="inlineStr">
        <is>
          <t>－</t>
        </is>
      </c>
      <c r="F42" s="167" t="inlineStr">
        <is>
          <t>－</t>
        </is>
      </c>
      <c r="G42" s="863">
        <f>IFERROR(MIN(G6:G39),"")</f>
        <v/>
      </c>
      <c r="H42" s="168">
        <f>IFERROR(MIN(H6:H39),"")</f>
        <v/>
      </c>
      <c r="I42" s="168">
        <f>IFERROR(MIN(I6:I39),"")</f>
        <v/>
      </c>
      <c r="J42" s="167" t="inlineStr">
        <is>
          <t>－</t>
        </is>
      </c>
      <c r="K42" s="863">
        <f>IFERROR(MIN(K6:K39),"")</f>
        <v/>
      </c>
      <c r="L42" s="167" t="inlineStr">
        <is>
          <t>－</t>
        </is>
      </c>
      <c r="M42" s="863">
        <f>IFERROR(MIN(M6:M39),"")</f>
        <v/>
      </c>
      <c r="N42" s="168">
        <f>IFERROR(MIN(N6:N39),"")</f>
        <v/>
      </c>
      <c r="O42" s="862" t="n"/>
      <c r="P42" s="9" t="n"/>
      <c r="Q42" s="9" t="n"/>
      <c r="R42" s="9" t="n"/>
      <c r="S42" s="9" t="n"/>
      <c r="T42" s="9" t="n"/>
      <c r="U42" s="9" t="n"/>
      <c r="V42" s="9" t="n"/>
    </row>
    <row r="43" ht="18" customHeight="1">
      <c r="A43" s="589" t="inlineStr">
        <is>
          <t>合計</t>
        </is>
      </c>
      <c r="B43" s="580" t="n"/>
      <c r="C43" s="167" t="inlineStr">
        <is>
          <t>－</t>
        </is>
      </c>
      <c r="D43" s="167" t="inlineStr">
        <is>
          <t>－</t>
        </is>
      </c>
      <c r="E43" s="167" t="inlineStr">
        <is>
          <t>－</t>
        </is>
      </c>
      <c r="F43" s="167" t="inlineStr">
        <is>
          <t>－</t>
        </is>
      </c>
      <c r="G43" s="863">
        <f>IFERROR(SUM(G6:G39),"")</f>
        <v/>
      </c>
      <c r="H43" s="168">
        <f>IFERROR(SUM(H6:H39),"")</f>
        <v/>
      </c>
      <c r="I43" s="168">
        <f>IFERROR(SUM(I6:I39),"")</f>
        <v/>
      </c>
      <c r="J43" s="167" t="inlineStr">
        <is>
          <t>－</t>
        </is>
      </c>
      <c r="K43" s="876">
        <f>IFERROR(SUM(K6:K39),"")</f>
        <v/>
      </c>
      <c r="L43" s="167" t="inlineStr">
        <is>
          <t>－</t>
        </is>
      </c>
      <c r="M43" s="876">
        <f>IFERROR(SUM(M6:M39),"")</f>
        <v/>
      </c>
      <c r="N43" s="168">
        <f>IFERROR(SUM(N6:N39),"")</f>
        <v/>
      </c>
      <c r="O43" s="877" t="n"/>
      <c r="P43" s="9" t="n"/>
      <c r="Q43" s="9" t="n"/>
      <c r="R43" s="9" t="n"/>
      <c r="S43" s="9" t="n"/>
      <c r="T43" s="9" t="n"/>
      <c r="U43" s="9" t="n"/>
      <c r="V43" s="9" t="n"/>
    </row>
    <row r="44" hidden="1" ht="30" customHeight="1">
      <c r="A44" s="127" t="inlineStr">
        <is>
          <t xml:space="preserve">　吉和水質管理センター運転管理月報</t>
        </is>
      </c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676" t="inlineStr">
        <is>
          <t xml:space="preserve">　　　　　　　　平成18年８月分</t>
        </is>
      </c>
      <c r="K44" s="598" t="n"/>
      <c r="L44" s="598" t="n"/>
      <c r="M44" s="598" t="n"/>
      <c r="N44" s="128" t="n"/>
      <c r="O44" s="9" t="n"/>
      <c r="P44" s="9" t="n"/>
      <c r="Q44" s="9" t="n"/>
      <c r="R44" s="9" t="n"/>
      <c r="S44" s="9" t="n"/>
      <c r="T44" s="9" t="n"/>
      <c r="U44" s="9" t="n"/>
      <c r="V44" s="9" t="n"/>
    </row>
    <row r="45" hidden="1" ht="13.5" customHeight="1">
      <c r="A45" s="678" t="inlineStr">
        <is>
          <t>日付</t>
        </is>
      </c>
      <c r="B45" s="678" t="inlineStr">
        <is>
          <t>曜日</t>
        </is>
      </c>
      <c r="C45" s="680" t="inlineStr">
        <is>
          <t>全日電力量読み値</t>
        </is>
      </c>
      <c r="D45" s="680" t="inlineStr">
        <is>
          <t>力測電力量読み値</t>
        </is>
      </c>
      <c r="E45" s="680" t="inlineStr">
        <is>
          <t>無効電力量読み値</t>
        </is>
      </c>
      <c r="F45" s="680" t="inlineStr">
        <is>
          <t>上水使用量読み値</t>
        </is>
      </c>
      <c r="G45" s="589" t="inlineStr">
        <is>
          <t>固形塩素</t>
        </is>
      </c>
      <c r="H45" s="589" t="inlineStr">
        <is>
          <t>脱水ケーキ</t>
        </is>
      </c>
      <c r="I45" s="580" t="n"/>
      <c r="J45" s="683" t="inlineStr">
        <is>
          <t>No.1</t>
        </is>
      </c>
      <c r="K45" s="587" t="n"/>
      <c r="L45" s="683" t="inlineStr">
        <is>
          <t>No.2</t>
        </is>
      </c>
      <c r="M45" s="587" t="n"/>
      <c r="N45" s="128" t="n"/>
      <c r="O45" s="9" t="n"/>
      <c r="P45" s="9" t="n"/>
      <c r="Q45" s="9" t="n"/>
      <c r="R45" s="9" t="n"/>
      <c r="S45" s="9" t="n"/>
      <c r="T45" s="9" t="n"/>
      <c r="U45" s="9" t="n"/>
      <c r="V45" s="9" t="n"/>
    </row>
    <row r="46" hidden="1" ht="13.5" customHeight="1">
      <c r="A46" s="679" t="n"/>
      <c r="B46" s="679" t="n"/>
      <c r="C46" s="679" t="n"/>
      <c r="D46" s="679" t="n"/>
      <c r="E46" s="679" t="n"/>
      <c r="F46" s="679" t="n"/>
      <c r="G46" s="589" t="inlineStr">
        <is>
          <t>使用量</t>
        </is>
      </c>
      <c r="H46" s="589" t="inlineStr">
        <is>
          <t>発生量</t>
        </is>
      </c>
      <c r="I46" s="589" t="inlineStr">
        <is>
          <t>搬出量</t>
        </is>
      </c>
      <c r="J46" s="677" t="inlineStr">
        <is>
          <t>返送汚泥</t>
        </is>
      </c>
      <c r="K46" s="641" t="n"/>
      <c r="L46" s="677" t="inlineStr">
        <is>
          <t>返送汚泥</t>
        </is>
      </c>
      <c r="M46" s="641" t="n"/>
      <c r="N46" s="128" t="n"/>
      <c r="O46" s="9" t="n"/>
      <c r="P46" s="9" t="n"/>
      <c r="Q46" s="9" t="n"/>
      <c r="R46" s="9" t="n"/>
      <c r="S46" s="9" t="n"/>
      <c r="T46" s="9" t="n"/>
      <c r="U46" s="9" t="n"/>
      <c r="V46" s="9" t="n"/>
    </row>
    <row r="47" hidden="1" ht="13.5" customHeight="1">
      <c r="A47" s="679" t="n"/>
      <c r="B47" s="679" t="n"/>
      <c r="C47" s="626" t="n"/>
      <c r="D47" s="626" t="n"/>
      <c r="E47" s="626" t="n"/>
      <c r="F47" s="626" t="n"/>
      <c r="G47" s="626" t="n"/>
      <c r="H47" s="626" t="n"/>
      <c r="I47" s="626" t="n"/>
      <c r="J47" s="627" t="inlineStr">
        <is>
          <t>流　　量</t>
        </is>
      </c>
      <c r="K47" s="591" t="n"/>
      <c r="L47" s="627" t="inlineStr">
        <is>
          <t>流　　量</t>
        </is>
      </c>
      <c r="M47" s="591" t="n"/>
      <c r="N47" s="128" t="n"/>
      <c r="O47" s="9" t="n"/>
      <c r="P47" s="9" t="n"/>
      <c r="Q47" s="9" t="n"/>
      <c r="R47" s="9" t="n"/>
      <c r="S47" s="9" t="n"/>
      <c r="T47" s="9" t="n"/>
      <c r="U47" s="9" t="n"/>
      <c r="V47" s="9" t="n"/>
    </row>
    <row r="48" hidden="1" ht="13.5" customHeight="1">
      <c r="A48" s="626" t="n"/>
      <c r="B48" s="626" t="n"/>
      <c r="C48" s="588" t="inlineStr">
        <is>
          <t>kwh</t>
        </is>
      </c>
      <c r="D48" s="588" t="inlineStr">
        <is>
          <t>kwh</t>
        </is>
      </c>
      <c r="E48" s="588" t="inlineStr">
        <is>
          <t>kvarh</t>
        </is>
      </c>
      <c r="F48" s="588" t="inlineStr">
        <is>
          <t>㎥</t>
        </is>
      </c>
      <c r="G48" s="588" t="inlineStr">
        <is>
          <t>kg</t>
        </is>
      </c>
      <c r="H48" s="588" t="inlineStr">
        <is>
          <t>ｔ</t>
        </is>
      </c>
      <c r="I48" s="588" t="inlineStr">
        <is>
          <t>ｔ</t>
        </is>
      </c>
      <c r="J48" s="588" t="inlineStr">
        <is>
          <t>㎥</t>
        </is>
      </c>
      <c r="K48" s="580" t="n"/>
      <c r="L48" s="588" t="inlineStr">
        <is>
          <t>㎥</t>
        </is>
      </c>
      <c r="M48" s="580" t="n"/>
      <c r="N48" s="128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 hidden="1" ht="13.25" customHeight="1">
      <c r="A49" s="630" t="n">
        <v>1</v>
      </c>
      <c r="B49" s="588" t="inlineStr">
        <is>
          <t>火</t>
        </is>
      </c>
      <c r="C49" s="878" t="n">
        <v>694</v>
      </c>
      <c r="D49" s="878" t="n">
        <v>438.82</v>
      </c>
      <c r="E49" s="878" t="n">
        <v>2</v>
      </c>
      <c r="F49" s="588" t="n">
        <v>1016</v>
      </c>
      <c r="G49" s="588" t="n"/>
      <c r="H49" s="588" t="n"/>
      <c r="I49" s="588" t="n"/>
      <c r="J49" s="588" t="n">
        <v>590074</v>
      </c>
      <c r="K49" s="588">
        <f>J49-#REF!</f>
        <v/>
      </c>
      <c r="L49" s="588" t="n">
        <v>217242</v>
      </c>
      <c r="M49" s="588">
        <f>L49-#REF!</f>
        <v/>
      </c>
      <c r="N49" s="128" t="n"/>
      <c r="O49" s="9" t="n"/>
      <c r="P49" s="9" t="n"/>
      <c r="Q49" s="9" t="n"/>
      <c r="R49" s="9" t="n"/>
      <c r="S49" s="9" t="n"/>
      <c r="T49" s="9" t="n"/>
      <c r="U49" s="9" t="n"/>
      <c r="V49" s="9" t="n"/>
    </row>
    <row r="50" hidden="1" ht="13.25" customHeight="1">
      <c r="A50" s="630" t="n">
        <v>2</v>
      </c>
      <c r="B50" s="588" t="inlineStr">
        <is>
          <t>水</t>
        </is>
      </c>
      <c r="C50" s="878" t="n">
        <v>694</v>
      </c>
      <c r="D50" s="878" t="n">
        <v>438.82</v>
      </c>
      <c r="E50" s="878" t="n">
        <v>2</v>
      </c>
      <c r="F50" s="588" t="n">
        <v>1017</v>
      </c>
      <c r="G50" s="588" t="n"/>
      <c r="H50" s="588" t="n">
        <v>1.87</v>
      </c>
      <c r="I50" s="588" t="n"/>
      <c r="J50" s="588" t="n">
        <v>590310</v>
      </c>
      <c r="K50" s="588">
        <f>J50-J49</f>
        <v/>
      </c>
      <c r="L50" s="588" t="n">
        <v>217444</v>
      </c>
      <c r="M50" s="588">
        <f>L50-L49</f>
        <v/>
      </c>
      <c r="N50" s="128" t="n"/>
      <c r="O50" s="9" t="n"/>
      <c r="P50" s="9" t="n"/>
      <c r="Q50" s="9" t="n"/>
      <c r="R50" s="9" t="n"/>
      <c r="S50" s="9" t="n"/>
      <c r="T50" s="9" t="n"/>
      <c r="U50" s="9" t="n"/>
      <c r="V50" s="9" t="n"/>
    </row>
    <row r="51" hidden="1" ht="13.25" customHeight="1">
      <c r="A51" s="630" t="n">
        <v>3</v>
      </c>
      <c r="B51" s="588" t="inlineStr">
        <is>
          <t>木</t>
        </is>
      </c>
      <c r="C51" s="878" t="n">
        <v>694</v>
      </c>
      <c r="D51" s="878" t="n">
        <v>438.82</v>
      </c>
      <c r="E51" s="879" t="n">
        <v>2</v>
      </c>
      <c r="F51" s="588" t="n">
        <v>1017</v>
      </c>
      <c r="G51" s="588" t="n"/>
      <c r="H51" s="588" t="n"/>
      <c r="I51" s="588" t="n">
        <v>1.87</v>
      </c>
      <c r="J51" s="588" t="n">
        <v>590556</v>
      </c>
      <c r="K51" s="588">
        <f>J51-J50</f>
        <v/>
      </c>
      <c r="L51" s="588" t="n">
        <v>217673</v>
      </c>
      <c r="M51" s="588">
        <f>L51-L50</f>
        <v/>
      </c>
      <c r="N51" s="128" t="n"/>
      <c r="O51" s="9" t="n"/>
      <c r="P51" s="9" t="n"/>
      <c r="Q51" s="9" t="n"/>
      <c r="R51" s="9" t="n"/>
      <c r="S51" s="9" t="n"/>
      <c r="T51" s="9" t="n"/>
      <c r="U51" s="9" t="n"/>
      <c r="V51" s="9" t="n"/>
    </row>
    <row r="52" hidden="1" ht="13.25" customHeight="1">
      <c r="A52" s="630" t="n">
        <v>4</v>
      </c>
      <c r="B52" s="588" t="inlineStr">
        <is>
          <t>金</t>
        </is>
      </c>
      <c r="C52" s="878" t="n">
        <v>694</v>
      </c>
      <c r="D52" s="879" t="n">
        <v>442.75</v>
      </c>
      <c r="E52" s="879" t="n">
        <v>2.02</v>
      </c>
      <c r="F52" s="588" t="n">
        <v>1017</v>
      </c>
      <c r="G52" s="588" t="n"/>
      <c r="H52" s="880" t="n"/>
      <c r="I52" s="588" t="n"/>
      <c r="J52" s="588" t="n">
        <v>590720</v>
      </c>
      <c r="K52" s="588">
        <f>J52-J51</f>
        <v/>
      </c>
      <c r="L52" s="588" t="n">
        <v>217820</v>
      </c>
      <c r="M52" s="588">
        <f>L52-L51</f>
        <v/>
      </c>
      <c r="N52" s="128" t="n"/>
      <c r="O52" s="9" t="n"/>
      <c r="P52" s="9" t="n"/>
      <c r="Q52" s="9" t="n"/>
      <c r="R52" s="9" t="n"/>
      <c r="S52" s="9" t="n"/>
      <c r="T52" s="9" t="n"/>
      <c r="U52" s="9" t="n"/>
      <c r="V52" s="9" t="n"/>
    </row>
    <row r="53" hidden="1" ht="13.25" customHeight="1">
      <c r="A53" s="630" t="n">
        <v>5</v>
      </c>
      <c r="B53" s="588" t="inlineStr">
        <is>
          <t>土</t>
        </is>
      </c>
      <c r="C53" s="879" t="n"/>
      <c r="D53" s="879" t="n"/>
      <c r="E53" s="879" t="n"/>
      <c r="F53" s="881" t="n"/>
      <c r="G53" s="588" t="n"/>
      <c r="H53" s="588" t="n"/>
      <c r="I53" s="880" t="n"/>
      <c r="J53" s="588" t="n"/>
      <c r="K53" s="588" t="n"/>
      <c r="L53" s="588" t="n"/>
      <c r="M53" s="588" t="n"/>
      <c r="N53" s="128" t="n"/>
      <c r="O53" s="9" t="n"/>
      <c r="P53" s="9" t="n"/>
      <c r="Q53" s="9" t="n"/>
      <c r="R53" s="9" t="n"/>
      <c r="S53" s="9" t="n"/>
      <c r="T53" s="9" t="n"/>
      <c r="U53" s="9" t="n"/>
      <c r="V53" s="9" t="n"/>
    </row>
    <row r="54" hidden="1" ht="13.25" customHeight="1">
      <c r="A54" s="630" t="n">
        <v>6</v>
      </c>
      <c r="B54" s="588" t="inlineStr">
        <is>
          <t>日</t>
        </is>
      </c>
      <c r="C54" s="879" t="n"/>
      <c r="D54" s="879" t="n"/>
      <c r="E54" s="879" t="n"/>
      <c r="F54" s="881" t="n"/>
      <c r="G54" s="588" t="n"/>
      <c r="H54" s="588" t="n"/>
      <c r="I54" s="588" t="n"/>
      <c r="J54" s="588" t="n"/>
      <c r="K54" s="588" t="n"/>
      <c r="L54" s="588" t="n"/>
      <c r="M54" s="588" t="n"/>
      <c r="N54" s="128" t="n"/>
      <c r="O54" s="9" t="n"/>
      <c r="P54" s="9" t="n"/>
      <c r="Q54" s="9" t="n"/>
      <c r="R54" s="9" t="n"/>
      <c r="S54" s="9" t="n"/>
      <c r="T54" s="9" t="n"/>
      <c r="U54" s="9" t="n"/>
      <c r="V54" s="9" t="n"/>
    </row>
    <row r="55" hidden="1" ht="13.25" customHeight="1">
      <c r="A55" s="630" t="n">
        <v>7</v>
      </c>
      <c r="B55" s="588" t="inlineStr">
        <is>
          <t>月</t>
        </is>
      </c>
      <c r="C55" s="879" t="n">
        <v>694</v>
      </c>
      <c r="D55" s="879" t="n">
        <v>445.51</v>
      </c>
      <c r="E55" s="879" t="n">
        <v>2.02</v>
      </c>
      <c r="F55" s="881" t="n">
        <v>1017</v>
      </c>
      <c r="G55" s="588" t="n">
        <v>35</v>
      </c>
      <c r="H55" s="588" t="n"/>
      <c r="I55" s="588" t="n"/>
      <c r="J55" s="588" t="n">
        <v>591393</v>
      </c>
      <c r="K55" s="882">
        <f>(J55-J52)/3</f>
        <v/>
      </c>
      <c r="L55" s="588" t="n">
        <v>218387</v>
      </c>
      <c r="M55" s="588">
        <f>(L55-L52)/3</f>
        <v/>
      </c>
      <c r="N55" s="128" t="n"/>
      <c r="O55" s="9" t="n"/>
      <c r="P55" s="9" t="n"/>
      <c r="Q55" s="9" t="n"/>
      <c r="R55" s="9" t="n"/>
      <c r="S55" s="9" t="n"/>
      <c r="T55" s="9" t="n"/>
      <c r="U55" s="9" t="n"/>
      <c r="V55" s="9" t="n"/>
    </row>
    <row r="56" hidden="1" ht="13.25" customHeight="1">
      <c r="A56" s="630" t="n">
        <v>8</v>
      </c>
      <c r="B56" s="588" t="inlineStr">
        <is>
          <t>火</t>
        </is>
      </c>
      <c r="C56" s="879" t="n">
        <v>694</v>
      </c>
      <c r="D56" s="879" t="n">
        <v>438.82</v>
      </c>
      <c r="E56" s="879" t="n">
        <v>2</v>
      </c>
      <c r="F56" s="881" t="n">
        <v>1017</v>
      </c>
      <c r="G56" s="588" t="n"/>
      <c r="H56" s="588" t="n"/>
      <c r="I56" s="588" t="n"/>
      <c r="J56" s="588" t="n">
        <v>591530</v>
      </c>
      <c r="K56" s="588">
        <f>J56-J55</f>
        <v/>
      </c>
      <c r="L56" s="588" t="n">
        <v>218540</v>
      </c>
      <c r="M56" s="588">
        <f>L56-L55</f>
        <v/>
      </c>
      <c r="N56" s="128" t="n"/>
      <c r="O56" s="9" t="n"/>
      <c r="P56" s="9" t="n"/>
      <c r="Q56" s="9" t="n"/>
      <c r="R56" s="9" t="n"/>
      <c r="S56" s="9" t="n"/>
      <c r="T56" s="9" t="n"/>
      <c r="U56" s="9" t="n"/>
      <c r="V56" s="9" t="n"/>
    </row>
    <row r="57" hidden="1" ht="13.25" customHeight="1">
      <c r="A57" s="630" t="n">
        <v>9</v>
      </c>
      <c r="B57" s="588" t="inlineStr">
        <is>
          <t>水</t>
        </is>
      </c>
      <c r="C57" s="879" t="n">
        <v>694</v>
      </c>
      <c r="D57" s="879" t="n">
        <v>438.82</v>
      </c>
      <c r="E57" s="879" t="n">
        <v>2</v>
      </c>
      <c r="F57" s="881" t="n">
        <v>1017</v>
      </c>
      <c r="G57" s="588" t="n"/>
      <c r="H57" s="588" t="n">
        <v>2.04</v>
      </c>
      <c r="I57" s="588" t="n"/>
      <c r="J57" s="588" t="n">
        <v>591809</v>
      </c>
      <c r="K57" s="588">
        <f>J57-J56</f>
        <v/>
      </c>
      <c r="L57" s="588" t="n">
        <v>218791</v>
      </c>
      <c r="M57" s="588">
        <f>L57-L56</f>
        <v/>
      </c>
      <c r="N57" s="128" t="n"/>
      <c r="O57" s="9" t="n"/>
      <c r="P57" s="9" t="n"/>
      <c r="Q57" s="9" t="n"/>
      <c r="R57" s="9" t="n"/>
      <c r="S57" s="9" t="n"/>
      <c r="T57" s="9" t="n"/>
      <c r="U57" s="9" t="n"/>
      <c r="V57" s="9" t="n"/>
    </row>
    <row r="58" hidden="1" ht="13.25" customHeight="1">
      <c r="A58" s="630" t="n">
        <v>10</v>
      </c>
      <c r="B58" s="588" t="inlineStr">
        <is>
          <t>木</t>
        </is>
      </c>
      <c r="C58" s="879" t="n">
        <v>709.54</v>
      </c>
      <c r="D58" s="879" t="n">
        <v>449.01</v>
      </c>
      <c r="E58" s="879" t="n">
        <v>2.03</v>
      </c>
      <c r="F58" s="881" t="n">
        <v>1018</v>
      </c>
      <c r="G58" s="588" t="n"/>
      <c r="H58" s="588" t="n"/>
      <c r="I58" s="588" t="n">
        <v>2.04</v>
      </c>
      <c r="J58" s="588" t="n">
        <v>592044</v>
      </c>
      <c r="K58" s="588">
        <f>J58-J57</f>
        <v/>
      </c>
      <c r="L58" s="588" t="n">
        <v>219006</v>
      </c>
      <c r="M58" s="588">
        <f>L58-L57</f>
        <v/>
      </c>
      <c r="N58" s="128" t="n"/>
      <c r="O58" s="9" t="n"/>
      <c r="P58" s="9" t="n"/>
      <c r="Q58" s="9" t="n"/>
      <c r="R58" s="9" t="n"/>
      <c r="S58" s="9" t="n"/>
      <c r="T58" s="9" t="n"/>
      <c r="U58" s="9" t="n"/>
      <c r="V58" s="9" t="n"/>
    </row>
    <row r="59" hidden="1" ht="13.25" customHeight="1">
      <c r="A59" s="630" t="n">
        <v>11</v>
      </c>
      <c r="B59" s="588" t="inlineStr">
        <is>
          <t>金</t>
        </is>
      </c>
      <c r="C59" s="879" t="n">
        <v>694</v>
      </c>
      <c r="D59" s="879" t="n">
        <v>438.82</v>
      </c>
      <c r="E59" s="879" t="n">
        <v>2</v>
      </c>
      <c r="F59" s="881" t="n">
        <v>1018</v>
      </c>
      <c r="G59" s="588" t="n"/>
      <c r="H59" s="588" t="n"/>
      <c r="I59" s="588" t="n"/>
      <c r="J59" s="588" t="n">
        <v>592273</v>
      </c>
      <c r="K59" s="588">
        <f>J59-J58</f>
        <v/>
      </c>
      <c r="L59" s="588" t="n">
        <v>219209</v>
      </c>
      <c r="M59" s="588">
        <f>L59-L58</f>
        <v/>
      </c>
      <c r="N59" s="128" t="n"/>
      <c r="O59" s="9" t="n"/>
      <c r="P59" s="9" t="n"/>
      <c r="Q59" s="9" t="n"/>
      <c r="R59" s="9" t="n"/>
      <c r="S59" s="9" t="n"/>
      <c r="T59" s="9" t="n"/>
      <c r="U59" s="9" t="n"/>
      <c r="V59" s="9" t="n"/>
    </row>
    <row r="60" hidden="1" ht="13.25" customHeight="1">
      <c r="A60" s="630" t="n">
        <v>12</v>
      </c>
      <c r="B60" s="588" t="inlineStr">
        <is>
          <t>土</t>
        </is>
      </c>
      <c r="C60" s="879" t="n"/>
      <c r="D60" s="879" t="n"/>
      <c r="E60" s="879" t="n"/>
      <c r="F60" s="881" t="n"/>
      <c r="G60" s="588" t="n"/>
      <c r="H60" s="588" t="n"/>
      <c r="I60" s="588" t="n"/>
      <c r="J60" s="588" t="n"/>
      <c r="K60" s="588" t="n"/>
      <c r="L60" s="588" t="n"/>
      <c r="M60" s="882" t="n"/>
      <c r="N60" s="128" t="n"/>
      <c r="O60" s="9" t="n"/>
      <c r="P60" s="9" t="n"/>
      <c r="Q60" s="9" t="n"/>
      <c r="R60" s="9" t="n"/>
      <c r="S60" s="9" t="n"/>
      <c r="T60" s="9" t="n"/>
      <c r="U60" s="9" t="n"/>
      <c r="V60" s="9" t="n"/>
    </row>
    <row r="61" hidden="1" ht="13.25" customHeight="1">
      <c r="A61" s="630" t="n">
        <v>13</v>
      </c>
      <c r="B61" s="588" t="inlineStr">
        <is>
          <t>日</t>
        </is>
      </c>
      <c r="C61" s="879" t="n"/>
      <c r="D61" s="879" t="n"/>
      <c r="E61" s="879" t="n"/>
      <c r="F61" s="881" t="n"/>
      <c r="G61" s="588" t="n"/>
      <c r="H61" s="588" t="n"/>
      <c r="I61" s="588" t="n"/>
      <c r="J61" s="588" t="n"/>
      <c r="K61" s="588" t="n"/>
      <c r="L61" s="588" t="n"/>
      <c r="M61" s="882" t="n"/>
      <c r="N61" s="128" t="n"/>
      <c r="O61" s="9" t="n"/>
      <c r="P61" s="9" t="n"/>
      <c r="Q61" s="9" t="n"/>
      <c r="R61" s="9" t="n"/>
      <c r="S61" s="9" t="n"/>
      <c r="T61" s="9" t="n"/>
      <c r="U61" s="9" t="n"/>
      <c r="V61" s="9" t="n"/>
    </row>
    <row r="62" hidden="1" ht="13.25" customHeight="1">
      <c r="A62" s="630" t="n">
        <v>14</v>
      </c>
      <c r="B62" s="588" t="inlineStr">
        <is>
          <t>月</t>
        </is>
      </c>
      <c r="C62" s="879" t="n">
        <v>694</v>
      </c>
      <c r="D62" s="879" t="n">
        <v>438.82</v>
      </c>
      <c r="E62" s="879" t="n">
        <v>2</v>
      </c>
      <c r="F62" s="881" t="n">
        <v>1018</v>
      </c>
      <c r="G62" s="588" t="n">
        <v>36</v>
      </c>
      <c r="H62" s="588" t="n"/>
      <c r="I62" s="588" t="n"/>
      <c r="J62" s="588" t="n">
        <v>592975</v>
      </c>
      <c r="K62" s="588">
        <f>(J62-J59)/3</f>
        <v/>
      </c>
      <c r="L62" s="588" t="n">
        <v>219801</v>
      </c>
      <c r="M62" s="882">
        <f>(L62-L59)/3</f>
        <v/>
      </c>
      <c r="N62" s="128" t="n"/>
      <c r="O62" s="9" t="n"/>
      <c r="P62" s="9" t="n"/>
      <c r="Q62" s="9" t="n"/>
      <c r="R62" s="9" t="n"/>
      <c r="S62" s="9" t="n"/>
      <c r="T62" s="9" t="n"/>
      <c r="U62" s="9" t="n"/>
      <c r="V62" s="9" t="n"/>
    </row>
    <row r="63" hidden="1" ht="13.25" customHeight="1">
      <c r="A63" s="630" t="n">
        <v>15</v>
      </c>
      <c r="B63" s="588" t="inlineStr">
        <is>
          <t>火</t>
        </is>
      </c>
      <c r="C63" s="879" t="n"/>
      <c r="D63" s="879" t="n"/>
      <c r="E63" s="879" t="n"/>
      <c r="F63" s="881" t="n"/>
      <c r="G63" s="588" t="n"/>
      <c r="H63" s="588" t="n"/>
      <c r="I63" s="588" t="n"/>
      <c r="J63" s="588" t="n"/>
      <c r="K63" s="588" t="n"/>
      <c r="L63" s="588" t="n"/>
      <c r="M63" s="588" t="n"/>
      <c r="N63" s="128" t="n"/>
      <c r="O63" s="9" t="n"/>
      <c r="P63" s="9" t="n"/>
      <c r="Q63" s="9" t="n"/>
      <c r="R63" s="9" t="n"/>
      <c r="S63" s="9" t="n"/>
      <c r="T63" s="9" t="n"/>
      <c r="U63" s="9" t="n"/>
      <c r="V63" s="9" t="n"/>
    </row>
    <row r="64" hidden="1" ht="13.25" customHeight="1">
      <c r="A64" s="630" t="n">
        <v>16</v>
      </c>
      <c r="B64" s="588" t="inlineStr">
        <is>
          <t>水</t>
        </is>
      </c>
      <c r="C64" s="879" t="n"/>
      <c r="D64" s="879" t="n"/>
      <c r="E64" s="879" t="n"/>
      <c r="F64" s="589" t="n"/>
      <c r="G64" s="588" t="n"/>
      <c r="H64" s="588" t="n"/>
      <c r="I64" s="588" t="n"/>
      <c r="J64" s="588" t="n"/>
      <c r="K64" s="588" t="n"/>
      <c r="L64" s="588" t="n"/>
      <c r="M64" s="588" t="n"/>
      <c r="N64" s="128" t="n"/>
      <c r="O64" s="9" t="n"/>
      <c r="P64" s="9" t="n"/>
      <c r="Q64" s="9" t="n"/>
      <c r="R64" s="9" t="n"/>
      <c r="S64" s="9" t="n"/>
      <c r="T64" s="9" t="n"/>
      <c r="U64" s="9" t="n"/>
      <c r="V64" s="9" t="n"/>
    </row>
    <row r="65" hidden="1" ht="13.25" customHeight="1">
      <c r="A65" s="630" t="n">
        <v>17</v>
      </c>
      <c r="B65" s="588" t="inlineStr">
        <is>
          <t>木</t>
        </is>
      </c>
      <c r="C65" s="879" t="n">
        <v>694</v>
      </c>
      <c r="D65" s="879" t="n">
        <v>438.82</v>
      </c>
      <c r="E65" s="879" t="n">
        <v>2</v>
      </c>
      <c r="F65" s="589" t="n">
        <v>1018</v>
      </c>
      <c r="G65" s="588" t="n"/>
      <c r="H65" s="588" t="n">
        <v>1.56</v>
      </c>
      <c r="I65" s="588" t="n"/>
      <c r="J65" s="588" t="n">
        <v>593730</v>
      </c>
      <c r="K65" s="882">
        <f>(J65-J62)/3</f>
        <v/>
      </c>
      <c r="L65" s="588" t="n">
        <v>220603</v>
      </c>
      <c r="M65" s="882">
        <f>(L65-L62)/3</f>
        <v/>
      </c>
      <c r="N65" s="128" t="n"/>
      <c r="O65" s="9" t="n"/>
      <c r="P65" s="9" t="n"/>
      <c r="Q65" s="9" t="n"/>
      <c r="R65" s="9" t="n"/>
      <c r="S65" s="9" t="n"/>
      <c r="T65" s="9" t="n"/>
      <c r="U65" s="9" t="n"/>
      <c r="V65" s="9" t="n"/>
    </row>
    <row r="66" hidden="1" ht="13.25" customHeight="1">
      <c r="A66" s="630" t="n">
        <v>18</v>
      </c>
      <c r="B66" s="588" t="inlineStr">
        <is>
          <t>金</t>
        </is>
      </c>
      <c r="C66" s="879" t="n">
        <v>694</v>
      </c>
      <c r="D66" s="879" t="n">
        <v>438.82</v>
      </c>
      <c r="E66" s="879" t="n">
        <v>2</v>
      </c>
      <c r="F66" s="589" t="n">
        <v>1018</v>
      </c>
      <c r="G66" s="588" t="n"/>
      <c r="H66" s="588" t="n"/>
      <c r="I66" s="588" t="n">
        <v>1.56</v>
      </c>
      <c r="J66" s="588" t="n">
        <v>593964</v>
      </c>
      <c r="K66" s="882">
        <f>J66-J65</f>
        <v/>
      </c>
      <c r="L66" s="588" t="n">
        <v>220821</v>
      </c>
      <c r="M66" s="882">
        <f>L66-L65</f>
        <v/>
      </c>
      <c r="N66" s="128" t="n"/>
      <c r="O66" s="9" t="n"/>
      <c r="P66" s="9" t="n"/>
      <c r="Q66" s="9" t="n"/>
      <c r="R66" s="9" t="n"/>
      <c r="S66" s="9" t="n"/>
      <c r="T66" s="9" t="n"/>
      <c r="U66" s="9" t="n"/>
      <c r="V66" s="9" t="n"/>
    </row>
    <row r="67" hidden="1" ht="13.25" customHeight="1">
      <c r="A67" s="630" t="n">
        <v>19</v>
      </c>
      <c r="B67" s="588" t="inlineStr">
        <is>
          <t>土</t>
        </is>
      </c>
      <c r="C67" s="879" t="n"/>
      <c r="D67" s="879" t="n"/>
      <c r="E67" s="879" t="n"/>
      <c r="F67" s="589" t="n"/>
      <c r="G67" s="588" t="n"/>
      <c r="H67" s="588" t="n"/>
      <c r="I67" s="588" t="n"/>
      <c r="J67" s="588" t="n"/>
      <c r="K67" s="588" t="n"/>
      <c r="L67" s="588" t="n"/>
      <c r="M67" s="588" t="n"/>
      <c r="N67" s="128" t="n"/>
      <c r="O67" s="9" t="n"/>
      <c r="P67" s="9" t="n"/>
      <c r="Q67" s="9" t="n"/>
      <c r="R67" s="9" t="n"/>
      <c r="S67" s="9" t="n"/>
      <c r="T67" s="9" t="n"/>
      <c r="U67" s="9" t="n"/>
      <c r="V67" s="9" t="n"/>
    </row>
    <row r="68" hidden="1" ht="13.25" customHeight="1">
      <c r="A68" s="630" t="n">
        <v>20</v>
      </c>
      <c r="B68" s="588" t="inlineStr">
        <is>
          <t>日</t>
        </is>
      </c>
      <c r="C68" s="879" t="n"/>
      <c r="D68" s="879" t="n"/>
      <c r="E68" s="879" t="n"/>
      <c r="F68" s="589" t="n"/>
      <c r="G68" s="588" t="n"/>
      <c r="H68" s="588" t="n"/>
      <c r="I68" s="588" t="n"/>
      <c r="J68" s="588" t="n"/>
      <c r="K68" s="588" t="n"/>
      <c r="L68" s="588" t="n"/>
      <c r="M68" s="588" t="n"/>
      <c r="N68" s="128" t="n"/>
      <c r="O68" s="9" t="n"/>
      <c r="P68" s="9" t="n"/>
      <c r="Q68" s="9" t="n"/>
      <c r="R68" s="9" t="n"/>
      <c r="S68" s="9" t="n"/>
      <c r="T68" s="9" t="n"/>
      <c r="U68" s="9" t="n"/>
      <c r="V68" s="9" t="n"/>
    </row>
    <row r="69" hidden="1" ht="13.25" customHeight="1">
      <c r="A69" s="630" t="n">
        <v>21</v>
      </c>
      <c r="B69" s="588" t="inlineStr">
        <is>
          <t>月</t>
        </is>
      </c>
      <c r="C69" s="879" t="n">
        <v>694</v>
      </c>
      <c r="D69" s="879" t="n">
        <v>438.82</v>
      </c>
      <c r="E69" s="879" t="n">
        <v>2</v>
      </c>
      <c r="F69" s="589" t="n">
        <v>1018</v>
      </c>
      <c r="G69" s="588" t="n">
        <v>42</v>
      </c>
      <c r="H69" s="588" t="n"/>
      <c r="I69" s="588" t="n"/>
      <c r="J69" s="588" t="n">
        <v>594665</v>
      </c>
      <c r="K69" s="588" t="n">
        <v>234</v>
      </c>
      <c r="L69" s="588" t="n">
        <v>221437</v>
      </c>
      <c r="M69" s="588" t="n">
        <v>205</v>
      </c>
      <c r="N69" s="128" t="n"/>
      <c r="O69" s="9" t="n"/>
      <c r="P69" s="9" t="n"/>
      <c r="Q69" s="9" t="n"/>
      <c r="R69" s="9" t="n"/>
      <c r="S69" s="9" t="n"/>
      <c r="T69" s="9" t="n"/>
      <c r="U69" s="9" t="n"/>
      <c r="V69" s="9" t="n"/>
    </row>
    <row r="70" hidden="1" ht="13.25" customHeight="1">
      <c r="A70" s="630" t="n">
        <v>22</v>
      </c>
      <c r="B70" s="588" t="inlineStr">
        <is>
          <t>火</t>
        </is>
      </c>
      <c r="C70" s="879" t="n">
        <v>694</v>
      </c>
      <c r="D70" s="879" t="n">
        <v>438.82</v>
      </c>
      <c r="E70" s="879" t="n">
        <v>2</v>
      </c>
      <c r="F70" s="589" t="n">
        <v>1019</v>
      </c>
      <c r="G70" s="588" t="n"/>
      <c r="H70" s="588" t="n"/>
      <c r="I70" s="588" t="n"/>
      <c r="J70" s="588" t="n">
        <v>594878</v>
      </c>
      <c r="K70" s="588">
        <f>J70-J69</f>
        <v/>
      </c>
      <c r="L70" s="588" t="n">
        <v>221665</v>
      </c>
      <c r="M70" s="588">
        <f>L70-L69</f>
        <v/>
      </c>
      <c r="N70" s="128" t="n"/>
      <c r="O70" s="9" t="n"/>
      <c r="P70" s="9" t="n"/>
      <c r="Q70" s="9" t="n"/>
      <c r="R70" s="9" t="n"/>
      <c r="S70" s="9" t="n"/>
      <c r="T70" s="9" t="n"/>
      <c r="U70" s="9" t="n"/>
      <c r="V70" s="9" t="n"/>
    </row>
    <row r="71" hidden="1" ht="13.25" customHeight="1">
      <c r="A71" s="630" t="n">
        <v>23</v>
      </c>
      <c r="B71" s="588" t="inlineStr">
        <is>
          <t>水</t>
        </is>
      </c>
      <c r="C71" s="879" t="n">
        <v>694</v>
      </c>
      <c r="D71" s="879" t="n">
        <v>438.82</v>
      </c>
      <c r="E71" s="879" t="n">
        <v>2</v>
      </c>
      <c r="F71" s="589" t="n">
        <v>1019</v>
      </c>
      <c r="G71" s="588" t="n"/>
      <c r="H71" s="588" t="n"/>
      <c r="I71" s="588" t="n"/>
      <c r="J71" s="588" t="n">
        <v>595119</v>
      </c>
      <c r="K71" s="588">
        <f>J71-J70</f>
        <v/>
      </c>
      <c r="L71" s="588" t="n">
        <v>221902</v>
      </c>
      <c r="M71" s="588">
        <f>L71-L70</f>
        <v/>
      </c>
      <c r="N71" s="128" t="n"/>
      <c r="O71" s="9" t="n"/>
      <c r="P71" s="9" t="n"/>
      <c r="Q71" s="9" t="n"/>
      <c r="R71" s="9" t="n"/>
      <c r="S71" s="9" t="n"/>
      <c r="T71" s="9" t="n"/>
      <c r="U71" s="9" t="n"/>
      <c r="V71" s="9" t="n"/>
    </row>
    <row r="72" hidden="1" ht="13.25" customHeight="1">
      <c r="A72" s="630" t="n">
        <v>24</v>
      </c>
      <c r="B72" s="588" t="inlineStr">
        <is>
          <t>木</t>
        </is>
      </c>
      <c r="C72" s="879" t="n">
        <v>694</v>
      </c>
      <c r="D72" s="879" t="n">
        <v>438.82</v>
      </c>
      <c r="E72" s="879" t="n">
        <v>2</v>
      </c>
      <c r="F72" s="589" t="n">
        <v>1019</v>
      </c>
      <c r="G72" s="588" t="n"/>
      <c r="H72" s="588" t="n"/>
      <c r="I72" s="588" t="n"/>
      <c r="J72" s="588" t="n">
        <v>595371</v>
      </c>
      <c r="K72" s="588">
        <f>J72-J71</f>
        <v/>
      </c>
      <c r="L72" s="588" t="n">
        <v>222140</v>
      </c>
      <c r="M72" s="882">
        <f>L72-L71</f>
        <v/>
      </c>
      <c r="N72" s="128" t="n"/>
      <c r="O72" s="9" t="n"/>
      <c r="P72" s="9" t="n"/>
      <c r="Q72" s="9" t="n"/>
      <c r="R72" s="9" t="n"/>
      <c r="S72" s="9" t="n"/>
      <c r="T72" s="9" t="n"/>
      <c r="U72" s="9" t="n"/>
      <c r="V72" s="9" t="n"/>
    </row>
    <row r="73" hidden="1" ht="13.25" customHeight="1">
      <c r="A73" s="630" t="n">
        <v>25</v>
      </c>
      <c r="B73" s="588" t="inlineStr">
        <is>
          <t>金</t>
        </is>
      </c>
      <c r="C73" s="879" t="n">
        <v>694</v>
      </c>
      <c r="D73" s="879" t="n">
        <v>438.82</v>
      </c>
      <c r="E73" s="879" t="n">
        <v>2</v>
      </c>
      <c r="F73" s="589" t="n">
        <v>1019</v>
      </c>
      <c r="G73" s="588" t="n"/>
      <c r="H73" s="588" t="n"/>
      <c r="I73" s="588" t="n"/>
      <c r="J73" s="588" t="n">
        <v>595625</v>
      </c>
      <c r="K73" s="588">
        <f>J73-J72</f>
        <v/>
      </c>
      <c r="L73" s="588" t="n">
        <v>222381</v>
      </c>
      <c r="M73" s="588">
        <f>L73-L72</f>
        <v/>
      </c>
      <c r="N73" s="128" t="n"/>
      <c r="O73" s="9" t="n"/>
      <c r="P73" s="9" t="n"/>
      <c r="Q73" s="9" t="n"/>
      <c r="R73" s="9" t="n"/>
      <c r="S73" s="9" t="n"/>
      <c r="T73" s="9" t="n"/>
      <c r="U73" s="9" t="n"/>
      <c r="V73" s="9" t="n"/>
    </row>
    <row r="74" hidden="1" ht="13.25" customHeight="1">
      <c r="A74" s="630" t="n">
        <v>26</v>
      </c>
      <c r="B74" s="588" t="inlineStr">
        <is>
          <t>土</t>
        </is>
      </c>
      <c r="C74" s="879" t="n"/>
      <c r="D74" s="879" t="n"/>
      <c r="E74" s="879" t="n"/>
      <c r="F74" s="589" t="n"/>
      <c r="G74" s="588" t="n"/>
      <c r="H74" s="588" t="n"/>
      <c r="I74" s="588" t="n"/>
      <c r="J74" s="588" t="n"/>
      <c r="K74" s="588" t="n"/>
      <c r="L74" s="588" t="n"/>
      <c r="M74" s="588" t="n"/>
      <c r="N74" s="128" t="n"/>
      <c r="O74" s="9" t="n"/>
      <c r="P74" s="9" t="n"/>
      <c r="Q74" s="9" t="n"/>
      <c r="R74" s="9" t="n"/>
      <c r="S74" s="9" t="n"/>
      <c r="T74" s="9" t="n"/>
      <c r="U74" s="9" t="n"/>
      <c r="V74" s="9" t="n"/>
    </row>
    <row r="75" hidden="1" ht="13.25" customHeight="1">
      <c r="A75" s="630" t="n">
        <v>27</v>
      </c>
      <c r="B75" s="588" t="inlineStr">
        <is>
          <t>日</t>
        </is>
      </c>
      <c r="C75" s="879" t="n"/>
      <c r="D75" s="879" t="n"/>
      <c r="E75" s="879" t="n"/>
      <c r="F75" s="589" t="n"/>
      <c r="G75" s="588" t="n"/>
      <c r="H75" s="588" t="n"/>
      <c r="I75" s="588" t="n"/>
      <c r="J75" s="588" t="n"/>
      <c r="K75" s="588" t="n"/>
      <c r="L75" s="588" t="n"/>
      <c r="M75" s="588" t="n"/>
      <c r="N75" s="128" t="n"/>
      <c r="O75" s="9" t="n"/>
      <c r="P75" s="9" t="n"/>
      <c r="Q75" s="9" t="n"/>
      <c r="R75" s="9" t="n"/>
      <c r="S75" s="9" t="n"/>
      <c r="T75" s="9" t="n"/>
      <c r="U75" s="9" t="n"/>
      <c r="V75" s="9" t="n"/>
    </row>
    <row r="76" hidden="1" ht="13.25" customHeight="1">
      <c r="A76" s="630" t="n">
        <v>28</v>
      </c>
      <c r="B76" s="588" t="inlineStr">
        <is>
          <t>月</t>
        </is>
      </c>
      <c r="C76" s="879" t="n">
        <v>694</v>
      </c>
      <c r="D76" s="879" t="n">
        <v>438.82</v>
      </c>
      <c r="E76" s="879" t="n">
        <v>2</v>
      </c>
      <c r="F76" s="589" t="n">
        <v>1019</v>
      </c>
      <c r="G76" s="588" t="n">
        <v>36</v>
      </c>
      <c r="H76" s="588" t="n"/>
      <c r="I76" s="588" t="n"/>
      <c r="J76" s="588" t="n">
        <v>596333</v>
      </c>
      <c r="K76" s="588">
        <f>(J76-J73)/3</f>
        <v/>
      </c>
      <c r="L76" s="588" t="n">
        <v>223073</v>
      </c>
      <c r="M76" s="882">
        <f>(L76-L73)/3</f>
        <v/>
      </c>
      <c r="N76" s="128" t="n"/>
      <c r="O76" s="9" t="n"/>
      <c r="P76" s="9" t="n"/>
      <c r="Q76" s="9" t="n"/>
      <c r="R76" s="9" t="n"/>
      <c r="S76" s="9" t="n"/>
      <c r="T76" s="9" t="n"/>
      <c r="U76" s="9" t="n"/>
      <c r="V76" s="9" t="n"/>
    </row>
    <row r="77" hidden="1" ht="13.25" customHeight="1">
      <c r="A77" s="630" t="n">
        <v>29</v>
      </c>
      <c r="B77" s="588" t="inlineStr">
        <is>
          <t>火</t>
        </is>
      </c>
      <c r="C77" s="879" t="n">
        <v>694</v>
      </c>
      <c r="D77" s="879" t="n">
        <v>438.82</v>
      </c>
      <c r="E77" s="879" t="n">
        <v>2.06</v>
      </c>
      <c r="F77" s="589" t="n">
        <v>1019</v>
      </c>
      <c r="G77" s="588" t="n"/>
      <c r="H77" s="588" t="n"/>
      <c r="I77" s="588" t="n"/>
      <c r="J77" s="588" t="n">
        <v>596579</v>
      </c>
      <c r="K77" s="588">
        <f>J77-J76</f>
        <v/>
      </c>
      <c r="L77" s="588" t="n">
        <v>223319</v>
      </c>
      <c r="M77" s="588">
        <f>L77-L76</f>
        <v/>
      </c>
      <c r="N77" s="128" t="n"/>
      <c r="O77" s="9" t="n"/>
      <c r="P77" s="9" t="n"/>
      <c r="Q77" s="9" t="n"/>
      <c r="R77" s="9" t="n"/>
      <c r="S77" s="9" t="n"/>
      <c r="T77" s="9" t="n"/>
      <c r="U77" s="9" t="n"/>
      <c r="V77" s="9" t="n"/>
    </row>
    <row r="78" hidden="1" ht="13.25" customHeight="1">
      <c r="A78" s="630" t="n">
        <v>30</v>
      </c>
      <c r="B78" s="588" t="inlineStr">
        <is>
          <t>水</t>
        </is>
      </c>
      <c r="C78" s="879" t="n">
        <v>694</v>
      </c>
      <c r="D78" s="879" t="n">
        <v>438.82</v>
      </c>
      <c r="E78" s="879" t="n">
        <v>2</v>
      </c>
      <c r="F78" s="589" t="n">
        <v>1019</v>
      </c>
      <c r="G78" s="588" t="n"/>
      <c r="H78" s="588" t="n"/>
      <c r="I78" s="588" t="n"/>
      <c r="J78" s="588" t="n">
        <v>596845</v>
      </c>
      <c r="K78" s="588">
        <f>J78-J77</f>
        <v/>
      </c>
      <c r="L78" s="588" t="n">
        <v>223588</v>
      </c>
      <c r="M78" s="588">
        <f>L78-L77</f>
        <v/>
      </c>
      <c r="N78" s="128" t="n"/>
      <c r="O78" s="9" t="n"/>
      <c r="P78" s="9" t="n"/>
      <c r="Q78" s="9" t="n"/>
      <c r="R78" s="9" t="n"/>
      <c r="S78" s="9" t="n"/>
      <c r="T78" s="9" t="n"/>
      <c r="U78" s="9" t="n"/>
      <c r="V78" s="9" t="n"/>
    </row>
    <row r="79" hidden="1" ht="13.25" customHeight="1">
      <c r="A79" s="630" t="n">
        <v>31</v>
      </c>
      <c r="B79" s="588" t="inlineStr">
        <is>
          <t>木</t>
        </is>
      </c>
      <c r="C79" s="879" t="n">
        <v>694</v>
      </c>
      <c r="D79" s="879" t="n">
        <v>438.82</v>
      </c>
      <c r="E79" s="879" t="n">
        <v>2</v>
      </c>
      <c r="F79" s="589" t="n">
        <v>1019</v>
      </c>
      <c r="G79" s="588" t="n"/>
      <c r="H79" s="588" t="n"/>
      <c r="I79" s="588" t="n"/>
      <c r="J79" s="588" t="n">
        <v>597096</v>
      </c>
      <c r="K79" s="588">
        <f>J79-J78</f>
        <v/>
      </c>
      <c r="L79" s="588" t="n">
        <v>223841</v>
      </c>
      <c r="M79" s="588">
        <f>L79-L78</f>
        <v/>
      </c>
      <c r="N79" s="128" t="n"/>
      <c r="O79" s="9" t="n"/>
      <c r="P79" s="9" t="n"/>
      <c r="Q79" s="9" t="n"/>
      <c r="R79" s="9" t="n"/>
      <c r="S79" s="9" t="n"/>
      <c r="T79" s="9" t="n"/>
      <c r="U79" s="9" t="n"/>
      <c r="V79" s="9" t="n"/>
    </row>
    <row r="80" hidden="1" ht="13.25" customHeight="1">
      <c r="A80" s="589" t="inlineStr">
        <is>
          <t>最大</t>
        </is>
      </c>
      <c r="B80" s="580" t="n"/>
      <c r="C80" s="176" t="inlineStr">
        <is>
          <t>－</t>
        </is>
      </c>
      <c r="D80" s="176" t="inlineStr">
        <is>
          <t>－</t>
        </is>
      </c>
      <c r="E80" s="176" t="inlineStr">
        <is>
          <t>－</t>
        </is>
      </c>
      <c r="F80" s="176" t="inlineStr">
        <is>
          <t>－</t>
        </is>
      </c>
      <c r="G80" s="588">
        <f>MAX(G55,G62,G69:G70,G76)</f>
        <v/>
      </c>
      <c r="H80" s="168">
        <f>MAX(H49:H79)</f>
        <v/>
      </c>
      <c r="I80" s="168">
        <f>MAX(I49:I79)</f>
        <v/>
      </c>
      <c r="J80" s="176" t="inlineStr">
        <is>
          <t>－</t>
        </is>
      </c>
      <c r="K80" s="883">
        <f>MAX(K52:K55,K58:K62,K66:K69,K72:K76,K79)</f>
        <v/>
      </c>
      <c r="L80" s="176" t="inlineStr">
        <is>
          <t>－</t>
        </is>
      </c>
      <c r="M80" s="883">
        <f>MAX(M52:M55,M58:M62,M66:M69,M72:M76,M79)</f>
        <v/>
      </c>
      <c r="N80" s="128" t="n"/>
      <c r="O80" s="9" t="n"/>
      <c r="P80" s="9" t="n"/>
      <c r="Q80" s="9" t="n"/>
      <c r="R80" s="9" t="n"/>
      <c r="S80" s="9" t="n"/>
      <c r="T80" s="9" t="n"/>
      <c r="U80" s="9" t="n"/>
      <c r="V80" s="9" t="n"/>
    </row>
    <row r="81" hidden="1" ht="13.25" customHeight="1">
      <c r="A81" s="589" t="inlineStr">
        <is>
          <t>平均</t>
        </is>
      </c>
      <c r="B81" s="580" t="n"/>
      <c r="C81" s="176" t="inlineStr">
        <is>
          <t>－</t>
        </is>
      </c>
      <c r="D81" s="176" t="inlineStr">
        <is>
          <t>－</t>
        </is>
      </c>
      <c r="E81" s="176" t="inlineStr">
        <is>
          <t>－</t>
        </is>
      </c>
      <c r="F81" s="176" t="inlineStr">
        <is>
          <t>－</t>
        </is>
      </c>
      <c r="G81" s="884">
        <f>AVERAGE(G55,G62,G69,G76)</f>
        <v/>
      </c>
      <c r="H81" s="168">
        <f>AVERAGE(H50,H57,H65)</f>
        <v/>
      </c>
      <c r="I81" s="168">
        <f>AVERAGE(I49:I79)</f>
        <v/>
      </c>
      <c r="J81" s="176" t="inlineStr">
        <is>
          <t>－</t>
        </is>
      </c>
      <c r="K81" s="883">
        <f>AVERAGE(K52:K55,K58:K62,K66:K69,K72:K76,K79)</f>
        <v/>
      </c>
      <c r="L81" s="176" t="inlineStr">
        <is>
          <t>－</t>
        </is>
      </c>
      <c r="M81" s="883">
        <f>AVERAGE(M52:M55,M58:M62,M66:M69,M72:M76,M79)</f>
        <v/>
      </c>
      <c r="N81" s="128" t="n"/>
      <c r="O81" s="9" t="n"/>
      <c r="P81" s="9" t="n"/>
      <c r="Q81" s="9" t="n"/>
      <c r="R81" s="9" t="n"/>
      <c r="S81" s="9" t="n"/>
      <c r="T81" s="9" t="n"/>
      <c r="U81" s="9" t="n"/>
      <c r="V81" s="9" t="n"/>
    </row>
    <row r="82" hidden="1" ht="13.25" customHeight="1">
      <c r="A82" s="589" t="inlineStr">
        <is>
          <t>最小</t>
        </is>
      </c>
      <c r="B82" s="580" t="n"/>
      <c r="C82" s="176" t="inlineStr">
        <is>
          <t>－</t>
        </is>
      </c>
      <c r="D82" s="176" t="inlineStr">
        <is>
          <t>－</t>
        </is>
      </c>
      <c r="E82" s="176" t="inlineStr">
        <is>
          <t>－</t>
        </is>
      </c>
      <c r="F82" s="176" t="inlineStr">
        <is>
          <t>－</t>
        </is>
      </c>
      <c r="G82" s="588">
        <f>MIN(G55,G62,G69,G76)</f>
        <v/>
      </c>
      <c r="H82" s="168">
        <f>MIN(H50,H57,H65)</f>
        <v/>
      </c>
      <c r="I82" s="168">
        <f>MIN(I49:I79)</f>
        <v/>
      </c>
      <c r="J82" s="176" t="inlineStr">
        <is>
          <t>－</t>
        </is>
      </c>
      <c r="K82" s="883">
        <f>MIN(K52:K55,K58:K62,K66:K69,K72:K76,K79)</f>
        <v/>
      </c>
      <c r="L82" s="176" t="inlineStr">
        <is>
          <t>－</t>
        </is>
      </c>
      <c r="M82" s="883">
        <f>MIN(M52:M55,M58:M62,M66:M69,M72:M76,M79)</f>
        <v/>
      </c>
      <c r="N82" s="128" t="n"/>
      <c r="O82" s="9" t="n"/>
      <c r="P82" s="9" t="n"/>
      <c r="Q82" s="9" t="n"/>
      <c r="R82" s="9" t="n"/>
      <c r="S82" s="9" t="n"/>
      <c r="T82" s="9" t="n"/>
      <c r="U82" s="9" t="n"/>
      <c r="V82" s="9" t="n"/>
    </row>
    <row r="83" hidden="1" ht="13.25" customHeight="1">
      <c r="A83" s="589" t="inlineStr">
        <is>
          <t>合計</t>
        </is>
      </c>
      <c r="B83" s="580" t="n"/>
      <c r="C83" s="176" t="inlineStr">
        <is>
          <t>－</t>
        </is>
      </c>
      <c r="D83" s="176" t="inlineStr">
        <is>
          <t>－</t>
        </is>
      </c>
      <c r="E83" s="176" t="inlineStr">
        <is>
          <t>－</t>
        </is>
      </c>
      <c r="F83" s="176" t="inlineStr">
        <is>
          <t>－</t>
        </is>
      </c>
      <c r="G83" s="588">
        <f>SUM(G55,G62,G69:G70,G76)</f>
        <v/>
      </c>
      <c r="H83" s="168">
        <f>SUM(H50,H57,H65)</f>
        <v/>
      </c>
      <c r="I83" s="168">
        <f>SUM(I49:I79)</f>
        <v/>
      </c>
      <c r="J83" s="176" t="inlineStr">
        <is>
          <t>－</t>
        </is>
      </c>
      <c r="K83" s="883">
        <f>SUM(K52:K55,K58:K62,K66:K69,K72:K76,K79)</f>
        <v/>
      </c>
      <c r="L83" s="176" t="inlineStr">
        <is>
          <t>－</t>
        </is>
      </c>
      <c r="M83" s="883">
        <f>SUM(M52:M55,M58:M62,M66:M69,M72:M76,M79)</f>
        <v/>
      </c>
      <c r="N83" s="128" t="n"/>
      <c r="O83" s="9" t="n"/>
      <c r="P83" s="9" t="n"/>
      <c r="Q83" s="9" t="n"/>
      <c r="R83" s="9" t="n"/>
      <c r="S83" s="9" t="n"/>
      <c r="T83" s="9" t="n"/>
      <c r="U83" s="9" t="n"/>
      <c r="V83" s="9" t="n"/>
    </row>
    <row r="84" hidden="1" ht="30" customHeight="1">
      <c r="A84" s="127" t="inlineStr">
        <is>
          <t xml:space="preserve">　吉和水質管理センター運転管理月報</t>
        </is>
      </c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676" t="inlineStr">
        <is>
          <t xml:space="preserve">　　　　　　　　平成18年９月分</t>
        </is>
      </c>
      <c r="K84" s="598" t="n"/>
      <c r="L84" s="598" t="n"/>
      <c r="M84" s="598" t="n"/>
      <c r="N84" s="128" t="n"/>
      <c r="O84" s="9" t="n"/>
      <c r="P84" s="9" t="n"/>
      <c r="Q84" s="9" t="n"/>
      <c r="R84" s="9" t="n"/>
      <c r="S84" s="9" t="n"/>
      <c r="T84" s="9" t="n"/>
      <c r="U84" s="9" t="n"/>
      <c r="V84" s="9" t="n"/>
    </row>
    <row r="85" hidden="1" ht="13.5" customHeight="1">
      <c r="A85" s="678" t="inlineStr">
        <is>
          <t>日付</t>
        </is>
      </c>
      <c r="B85" s="678" t="inlineStr">
        <is>
          <t>曜日</t>
        </is>
      </c>
      <c r="C85" s="680" t="inlineStr">
        <is>
          <t>全日電力量読み値</t>
        </is>
      </c>
      <c r="D85" s="680" t="inlineStr">
        <is>
          <t>力測電力量読み値</t>
        </is>
      </c>
      <c r="E85" s="680" t="inlineStr">
        <is>
          <t>無効電力量読み値</t>
        </is>
      </c>
      <c r="F85" s="680" t="inlineStr">
        <is>
          <t>上水使用量読み値</t>
        </is>
      </c>
      <c r="G85" s="589" t="inlineStr">
        <is>
          <t>固形塩素</t>
        </is>
      </c>
      <c r="H85" s="589" t="inlineStr">
        <is>
          <t>脱水ケーキ</t>
        </is>
      </c>
      <c r="I85" s="580" t="n"/>
      <c r="J85" s="683" t="inlineStr">
        <is>
          <t>No.1</t>
        </is>
      </c>
      <c r="K85" s="587" t="n"/>
      <c r="L85" s="683" t="inlineStr">
        <is>
          <t>No.2</t>
        </is>
      </c>
      <c r="M85" s="587" t="n"/>
      <c r="N85" s="128" t="n"/>
      <c r="O85" s="9" t="n"/>
      <c r="P85" s="9" t="n"/>
      <c r="Q85" s="9" t="n"/>
      <c r="R85" s="9" t="n"/>
      <c r="S85" s="9" t="n"/>
      <c r="T85" s="9" t="n"/>
      <c r="U85" s="9" t="n"/>
      <c r="V85" s="9" t="n"/>
    </row>
    <row r="86" hidden="1" ht="13.5" customHeight="1">
      <c r="A86" s="679" t="n"/>
      <c r="B86" s="679" t="n"/>
      <c r="C86" s="679" t="n"/>
      <c r="D86" s="679" t="n"/>
      <c r="E86" s="679" t="n"/>
      <c r="F86" s="679" t="n"/>
      <c r="G86" s="589" t="inlineStr">
        <is>
          <t>使用量</t>
        </is>
      </c>
      <c r="H86" s="589" t="inlineStr">
        <is>
          <t>発生量</t>
        </is>
      </c>
      <c r="I86" s="589" t="inlineStr">
        <is>
          <t>搬出量</t>
        </is>
      </c>
      <c r="J86" s="677" t="inlineStr">
        <is>
          <t>返送汚泥</t>
        </is>
      </c>
      <c r="K86" s="641" t="n"/>
      <c r="L86" s="677" t="inlineStr">
        <is>
          <t>返送汚泥</t>
        </is>
      </c>
      <c r="M86" s="641" t="n"/>
      <c r="N86" s="128" t="n"/>
      <c r="O86" s="9" t="n"/>
      <c r="P86" s="9" t="n"/>
      <c r="Q86" s="9" t="n"/>
      <c r="R86" s="9" t="n"/>
      <c r="S86" s="9" t="n"/>
      <c r="T86" s="9" t="n"/>
      <c r="U86" s="9" t="n"/>
      <c r="V86" s="9" t="n"/>
    </row>
    <row r="87" hidden="1" ht="13.5" customHeight="1">
      <c r="A87" s="679" t="n"/>
      <c r="B87" s="679" t="n"/>
      <c r="C87" s="626" t="n"/>
      <c r="D87" s="626" t="n"/>
      <c r="E87" s="626" t="n"/>
      <c r="F87" s="626" t="n"/>
      <c r="G87" s="626" t="n"/>
      <c r="H87" s="626" t="n"/>
      <c r="I87" s="626" t="n"/>
      <c r="J87" s="627" t="inlineStr">
        <is>
          <t>流　　量</t>
        </is>
      </c>
      <c r="K87" s="591" t="n"/>
      <c r="L87" s="627" t="inlineStr">
        <is>
          <t>流　　量</t>
        </is>
      </c>
      <c r="M87" s="591" t="n"/>
      <c r="N87" s="128" t="n"/>
      <c r="O87" s="9" t="n"/>
      <c r="P87" s="9" t="n"/>
      <c r="Q87" s="9" t="n"/>
      <c r="R87" s="9" t="n"/>
      <c r="S87" s="9" t="n"/>
      <c r="T87" s="9" t="n"/>
      <c r="U87" s="9" t="n"/>
      <c r="V87" s="9" t="n"/>
    </row>
    <row r="88" hidden="1" ht="13.5" customHeight="1">
      <c r="A88" s="626" t="n"/>
      <c r="B88" s="626" t="n"/>
      <c r="C88" s="588" t="inlineStr">
        <is>
          <t>kwh</t>
        </is>
      </c>
      <c r="D88" s="588" t="inlineStr">
        <is>
          <t>kwh</t>
        </is>
      </c>
      <c r="E88" s="588" t="inlineStr">
        <is>
          <t>kvarh</t>
        </is>
      </c>
      <c r="F88" s="588" t="inlineStr">
        <is>
          <t>㎥</t>
        </is>
      </c>
      <c r="G88" s="588" t="inlineStr">
        <is>
          <t>kg</t>
        </is>
      </c>
      <c r="H88" s="588" t="inlineStr">
        <is>
          <t>ｔ</t>
        </is>
      </c>
      <c r="I88" s="588" t="inlineStr">
        <is>
          <t>ｔ</t>
        </is>
      </c>
      <c r="J88" s="588" t="inlineStr">
        <is>
          <t>㎥</t>
        </is>
      </c>
      <c r="K88" s="580" t="n"/>
      <c r="L88" s="588" t="inlineStr">
        <is>
          <t>㎥</t>
        </is>
      </c>
      <c r="M88" s="580" t="n"/>
      <c r="N88" s="128" t="n"/>
      <c r="O88" s="9" t="n"/>
      <c r="P88" s="9" t="n"/>
      <c r="Q88" s="9" t="n"/>
      <c r="R88" s="9" t="n"/>
      <c r="S88" s="9" t="n"/>
      <c r="T88" s="9" t="n"/>
      <c r="U88" s="9" t="n"/>
      <c r="V88" s="9" t="n"/>
    </row>
    <row r="89" hidden="1" ht="13.25" customHeight="1">
      <c r="A89" s="630" t="n">
        <v>1</v>
      </c>
      <c r="B89" s="588" t="inlineStr">
        <is>
          <t>金</t>
        </is>
      </c>
      <c r="C89" s="878" t="n">
        <v>744.66</v>
      </c>
      <c r="D89" s="878" t="n">
        <v>471.8</v>
      </c>
      <c r="E89" s="878" t="n">
        <v>2.06</v>
      </c>
      <c r="F89" s="588" t="n">
        <v>1019</v>
      </c>
      <c r="G89" s="588" t="n"/>
      <c r="H89" s="588" t="n"/>
      <c r="I89" s="588" t="n"/>
      <c r="J89" s="588" t="n">
        <v>597346</v>
      </c>
      <c r="K89" s="588">
        <f>J89-J79</f>
        <v/>
      </c>
      <c r="L89" s="588" t="n">
        <v>224100</v>
      </c>
      <c r="M89" s="588">
        <f>L89-L79</f>
        <v/>
      </c>
      <c r="N89" s="128" t="n"/>
      <c r="O89" s="9" t="n"/>
      <c r="P89" s="9" t="n"/>
      <c r="Q89" s="9" t="n"/>
      <c r="R89" s="9" t="n"/>
      <c r="S89" s="9" t="n"/>
      <c r="T89" s="9" t="n"/>
      <c r="U89" s="9" t="n"/>
      <c r="V89" s="9" t="n"/>
    </row>
    <row r="90" hidden="1" ht="13.25" customHeight="1">
      <c r="A90" s="630" t="n">
        <v>2</v>
      </c>
      <c r="B90" s="588" t="inlineStr">
        <is>
          <t>土</t>
        </is>
      </c>
      <c r="C90" s="878" t="n"/>
      <c r="D90" s="878" t="n"/>
      <c r="E90" s="878" t="n"/>
      <c r="F90" s="588" t="n"/>
      <c r="G90" s="588" t="n"/>
      <c r="H90" s="588" t="n"/>
      <c r="I90" s="588" t="n"/>
      <c r="J90" s="588" t="n"/>
      <c r="K90" s="588" t="n"/>
      <c r="L90" s="588" t="n"/>
      <c r="M90" s="588" t="n"/>
      <c r="N90" s="128" t="n"/>
      <c r="O90" s="9" t="n"/>
      <c r="P90" s="9" t="n"/>
      <c r="Q90" s="9" t="n"/>
      <c r="R90" s="9" t="n"/>
      <c r="S90" s="9" t="n"/>
      <c r="T90" s="9" t="n"/>
      <c r="U90" s="9" t="n"/>
      <c r="V90" s="9" t="n"/>
    </row>
    <row r="91" hidden="1" ht="13.25" customHeight="1">
      <c r="A91" s="630" t="n">
        <v>3</v>
      </c>
      <c r="B91" s="588" t="inlineStr">
        <is>
          <t>日</t>
        </is>
      </c>
      <c r="C91" s="878" t="n"/>
      <c r="D91" s="878" t="n"/>
      <c r="E91" s="879" t="n"/>
      <c r="F91" s="588" t="n"/>
      <c r="G91" s="588" t="n"/>
      <c r="H91" s="588" t="n"/>
      <c r="I91" s="588" t="n"/>
      <c r="J91" s="588" t="n"/>
      <c r="K91" s="588" t="n"/>
      <c r="L91" s="588" t="n"/>
      <c r="M91" s="588" t="n"/>
      <c r="N91" s="128" t="n"/>
      <c r="O91" s="9" t="n"/>
      <c r="P91" s="9" t="n"/>
      <c r="Q91" s="9" t="n"/>
      <c r="R91" s="9" t="n"/>
      <c r="S91" s="9" t="n"/>
      <c r="T91" s="9" t="n"/>
      <c r="U91" s="9" t="n"/>
      <c r="V91" s="9" t="n"/>
    </row>
    <row r="92" hidden="1" ht="13.25" customHeight="1">
      <c r="A92" s="630" t="n">
        <v>4</v>
      </c>
      <c r="B92" s="588" t="inlineStr">
        <is>
          <t>月</t>
        </is>
      </c>
      <c r="C92" s="878" t="n">
        <v>749.88</v>
      </c>
      <c r="D92" s="879" t="n">
        <v>471.88</v>
      </c>
      <c r="E92" s="879" t="n">
        <v>2.06</v>
      </c>
      <c r="F92" s="588" t="n">
        <v>1020</v>
      </c>
      <c r="G92" s="588" t="n">
        <v>30</v>
      </c>
      <c r="H92" s="880" t="n"/>
      <c r="I92" s="588" t="n"/>
      <c r="J92" s="588" t="n">
        <v>598126</v>
      </c>
      <c r="K92" s="588">
        <f>(J92-J89)/3</f>
        <v/>
      </c>
      <c r="L92" s="588" t="n">
        <v>224880</v>
      </c>
      <c r="M92" s="588">
        <f>(L92-L89)/3</f>
        <v/>
      </c>
      <c r="N92" s="128" t="n"/>
      <c r="O92" s="9" t="n"/>
      <c r="P92" s="9" t="n"/>
      <c r="Q92" s="9" t="n"/>
      <c r="R92" s="9" t="n"/>
      <c r="S92" s="9" t="n"/>
      <c r="T92" s="9" t="n"/>
      <c r="U92" s="9" t="n"/>
      <c r="V92" s="9" t="n"/>
    </row>
    <row r="93" hidden="1" ht="13.25" customHeight="1">
      <c r="A93" s="630" t="n">
        <v>5</v>
      </c>
      <c r="B93" s="588" t="inlineStr">
        <is>
          <t>火</t>
        </is>
      </c>
      <c r="C93" s="879" t="n">
        <v>744.66</v>
      </c>
      <c r="D93" s="879" t="n">
        <v>471.88</v>
      </c>
      <c r="E93" s="879" t="n">
        <v>2.06</v>
      </c>
      <c r="F93" s="588" t="n">
        <v>1020</v>
      </c>
      <c r="G93" s="588" t="n"/>
      <c r="H93" s="588" t="n"/>
      <c r="I93" s="880" t="n"/>
      <c r="J93" s="588" t="n">
        <v>598370</v>
      </c>
      <c r="K93" s="882">
        <f>J93-J92</f>
        <v/>
      </c>
      <c r="L93" s="588" t="n">
        <v>225127</v>
      </c>
      <c r="M93" s="588">
        <f>L93-L92</f>
        <v/>
      </c>
      <c r="N93" s="128" t="n"/>
      <c r="O93" s="9" t="n"/>
      <c r="P93" s="9" t="n"/>
      <c r="Q93" s="9" t="n"/>
      <c r="R93" s="9" t="n"/>
      <c r="S93" s="9" t="n"/>
      <c r="T93" s="9" t="n"/>
      <c r="U93" s="9" t="n"/>
      <c r="V93" s="9" t="n"/>
    </row>
    <row r="94" hidden="1" ht="13.25" customHeight="1">
      <c r="A94" s="630" t="n">
        <v>6</v>
      </c>
      <c r="B94" s="588" t="inlineStr">
        <is>
          <t>水</t>
        </is>
      </c>
      <c r="C94" s="879" t="n">
        <v>744.66</v>
      </c>
      <c r="D94" s="879" t="n">
        <v>471.88</v>
      </c>
      <c r="E94" s="879" t="n">
        <v>2.06</v>
      </c>
      <c r="F94" s="588" t="n">
        <v>1020</v>
      </c>
      <c r="G94" s="588" t="n"/>
      <c r="H94" s="588" t="n"/>
      <c r="I94" s="588" t="n"/>
      <c r="J94" s="588" t="n">
        <v>598631</v>
      </c>
      <c r="K94" s="882">
        <f>J94-J93</f>
        <v/>
      </c>
      <c r="L94" s="588" t="n">
        <v>225401</v>
      </c>
      <c r="M94" s="588">
        <f>L94-L93</f>
        <v/>
      </c>
      <c r="N94" s="128" t="n"/>
      <c r="O94" s="9" t="n"/>
      <c r="P94" s="9" t="n"/>
      <c r="Q94" s="9" t="n"/>
      <c r="R94" s="9" t="n"/>
      <c r="S94" s="9" t="n"/>
      <c r="T94" s="9" t="n"/>
      <c r="U94" s="9" t="n"/>
      <c r="V94" s="9" t="n"/>
    </row>
    <row r="95" hidden="1" ht="13.25" customHeight="1">
      <c r="A95" s="630" t="n">
        <v>7</v>
      </c>
      <c r="B95" s="588" t="inlineStr">
        <is>
          <t>木</t>
        </is>
      </c>
      <c r="C95" s="879" t="n">
        <v>744.66</v>
      </c>
      <c r="D95" s="879" t="n">
        <v>471.88</v>
      </c>
      <c r="E95" s="879" t="n">
        <v>2.06</v>
      </c>
      <c r="F95" s="588" t="n">
        <v>1020</v>
      </c>
      <c r="G95" s="588" t="n"/>
      <c r="H95" s="588" t="n"/>
      <c r="I95" s="588" t="n"/>
      <c r="J95" s="588" t="n">
        <v>598883</v>
      </c>
      <c r="K95" s="882">
        <f>J95-J94</f>
        <v/>
      </c>
      <c r="L95" s="588" t="n">
        <v>225647</v>
      </c>
      <c r="M95" s="588">
        <f>L95-L94</f>
        <v/>
      </c>
      <c r="N95" s="128" t="n"/>
      <c r="O95" s="9" t="n"/>
      <c r="P95" s="9" t="n"/>
      <c r="Q95" s="9" t="n"/>
      <c r="R95" s="9" t="n"/>
      <c r="S95" s="9" t="n"/>
      <c r="T95" s="9" t="n"/>
      <c r="U95" s="9" t="n"/>
      <c r="V95" s="9" t="n"/>
    </row>
    <row r="96" hidden="1" ht="13.25" customHeight="1">
      <c r="A96" s="630" t="n">
        <v>8</v>
      </c>
      <c r="B96" s="588" t="inlineStr">
        <is>
          <t>金</t>
        </is>
      </c>
      <c r="C96" s="879" t="n">
        <v>744.66</v>
      </c>
      <c r="D96" s="879" t="n">
        <v>471.88</v>
      </c>
      <c r="E96" s="879" t="n">
        <v>2.06</v>
      </c>
      <c r="F96" s="588" t="n">
        <v>1020</v>
      </c>
      <c r="G96" s="588" t="n"/>
      <c r="H96" s="588" t="n"/>
      <c r="I96" s="588" t="n"/>
      <c r="J96" s="588" t="n">
        <v>599129</v>
      </c>
      <c r="K96" s="882">
        <f>J96-J95</f>
        <v/>
      </c>
      <c r="L96" s="588" t="n">
        <v>225886</v>
      </c>
      <c r="M96" s="588">
        <f>L96-L95</f>
        <v/>
      </c>
      <c r="N96" s="128" t="n"/>
      <c r="O96" s="9" t="n"/>
      <c r="P96" s="9" t="n"/>
      <c r="Q96" s="9" t="n"/>
      <c r="R96" s="9" t="n"/>
      <c r="S96" s="9" t="n"/>
      <c r="T96" s="9" t="n"/>
      <c r="U96" s="9" t="n"/>
      <c r="V96" s="9" t="n"/>
    </row>
    <row r="97" hidden="1" ht="13.25" customHeight="1">
      <c r="A97" s="630" t="n">
        <v>9</v>
      </c>
      <c r="B97" s="588" t="inlineStr">
        <is>
          <t>土</t>
        </is>
      </c>
      <c r="C97" s="879" t="n"/>
      <c r="D97" s="879" t="n"/>
      <c r="E97" s="879" t="n"/>
      <c r="F97" s="881" t="n"/>
      <c r="G97" s="588" t="n"/>
      <c r="H97" s="588" t="n"/>
      <c r="I97" s="588" t="n"/>
      <c r="J97" s="588" t="n"/>
      <c r="K97" s="588" t="n"/>
      <c r="L97" s="588" t="n"/>
      <c r="M97" s="588" t="n"/>
      <c r="N97" s="128" t="n"/>
      <c r="O97" s="9" t="n"/>
      <c r="P97" s="9" t="n"/>
      <c r="Q97" s="9" t="n"/>
      <c r="R97" s="9" t="n"/>
      <c r="S97" s="9" t="n"/>
      <c r="T97" s="9" t="n"/>
      <c r="U97" s="9" t="n"/>
      <c r="V97" s="9" t="n"/>
    </row>
    <row r="98" hidden="1" ht="13.25" customHeight="1">
      <c r="A98" s="630" t="n">
        <v>10</v>
      </c>
      <c r="B98" s="588" t="inlineStr">
        <is>
          <t>日</t>
        </is>
      </c>
      <c r="C98" s="879" t="n"/>
      <c r="D98" s="879" t="n"/>
      <c r="E98" s="879" t="n"/>
      <c r="F98" s="881" t="n"/>
      <c r="G98" s="588" t="n"/>
      <c r="H98" s="588" t="n"/>
      <c r="I98" s="588" t="n"/>
      <c r="J98" s="588" t="n"/>
      <c r="K98" s="588" t="n"/>
      <c r="L98" s="588" t="n"/>
      <c r="M98" s="588" t="n"/>
      <c r="N98" s="128" t="n"/>
      <c r="O98" s="9" t="n"/>
      <c r="P98" s="9" t="n"/>
      <c r="Q98" s="9" t="n"/>
      <c r="R98" s="9" t="n"/>
      <c r="S98" s="9" t="n"/>
      <c r="T98" s="9" t="n"/>
      <c r="U98" s="9" t="n"/>
      <c r="V98" s="9" t="n"/>
    </row>
    <row r="99" hidden="1" ht="13.25" customHeight="1">
      <c r="A99" s="630" t="n">
        <v>11</v>
      </c>
      <c r="B99" s="588" t="inlineStr">
        <is>
          <t>月</t>
        </is>
      </c>
      <c r="C99" s="879" t="n">
        <v>744.66</v>
      </c>
      <c r="D99" s="879" t="n">
        <v>471.88</v>
      </c>
      <c r="E99" s="879" t="n">
        <v>2.06</v>
      </c>
      <c r="F99" s="881" t="n">
        <v>1021</v>
      </c>
      <c r="G99" s="588" t="n">
        <v>26</v>
      </c>
      <c r="H99" s="588" t="n"/>
      <c r="I99" s="588" t="n"/>
      <c r="J99" s="588" t="n">
        <v>599857</v>
      </c>
      <c r="K99" s="882">
        <f>(J99-J96)/3</f>
        <v/>
      </c>
      <c r="L99" s="588" t="n">
        <v>226650</v>
      </c>
      <c r="M99" s="882">
        <f>(L99-L96)/3</f>
        <v/>
      </c>
      <c r="N99" s="128" t="n"/>
      <c r="O99" s="9" t="n"/>
      <c r="P99" s="9" t="n"/>
      <c r="Q99" s="9" t="n"/>
      <c r="R99" s="9" t="n"/>
      <c r="S99" s="9" t="n"/>
      <c r="T99" s="9" t="n"/>
      <c r="U99" s="9" t="n"/>
      <c r="V99" s="9" t="n"/>
    </row>
    <row r="100" hidden="1" ht="13.25" customHeight="1">
      <c r="A100" s="630" t="n">
        <v>12</v>
      </c>
      <c r="B100" s="588" t="inlineStr">
        <is>
          <t>火</t>
        </is>
      </c>
      <c r="C100" s="879" t="n">
        <v>744.66</v>
      </c>
      <c r="D100" s="879" t="n">
        <v>471.88</v>
      </c>
      <c r="E100" s="879" t="n">
        <v>2.06</v>
      </c>
      <c r="F100" s="881" t="n">
        <v>1021</v>
      </c>
      <c r="G100" s="588" t="n"/>
      <c r="H100" s="588" t="n"/>
      <c r="I100" s="588" t="n"/>
      <c r="J100" s="588" t="n">
        <v>600107</v>
      </c>
      <c r="K100" s="588">
        <f>J100-J99</f>
        <v/>
      </c>
      <c r="L100" s="588" t="n">
        <v>226883</v>
      </c>
      <c r="M100" s="882">
        <f>L100-L99</f>
        <v/>
      </c>
      <c r="N100" s="128" t="n"/>
      <c r="O100" s="9" t="n"/>
      <c r="P100" s="9" t="n"/>
      <c r="Q100" s="9" t="n"/>
      <c r="R100" s="9" t="n"/>
      <c r="S100" s="9" t="n"/>
      <c r="T100" s="9" t="n"/>
      <c r="U100" s="9" t="n"/>
      <c r="V100" s="9" t="n"/>
    </row>
    <row r="101" hidden="1" ht="13.25" customHeight="1">
      <c r="A101" s="630" t="n">
        <v>13</v>
      </c>
      <c r="B101" s="588" t="inlineStr">
        <is>
          <t>水</t>
        </is>
      </c>
      <c r="C101" s="879" t="n">
        <v>744.66</v>
      </c>
      <c r="D101" s="879" t="n">
        <v>471.88</v>
      </c>
      <c r="E101" s="879" t="n">
        <v>2.06</v>
      </c>
      <c r="F101" s="881" t="n">
        <v>1021</v>
      </c>
      <c r="G101" s="588" t="n"/>
      <c r="H101" s="588" t="n">
        <v>1.61</v>
      </c>
      <c r="I101" s="588" t="n"/>
      <c r="J101" s="588" t="n">
        <v>600352</v>
      </c>
      <c r="K101" s="588">
        <f>J101-J100</f>
        <v/>
      </c>
      <c r="L101" s="588" t="n">
        <v>227127</v>
      </c>
      <c r="M101" s="882">
        <f>L101-L100</f>
        <v/>
      </c>
      <c r="N101" s="128" t="n"/>
      <c r="O101" s="9" t="n"/>
      <c r="P101" s="9" t="n"/>
      <c r="Q101" s="9" t="n"/>
      <c r="R101" s="9" t="n"/>
      <c r="S101" s="9" t="n"/>
      <c r="T101" s="9" t="n"/>
      <c r="U101" s="9" t="n"/>
      <c r="V101" s="9" t="n"/>
    </row>
    <row r="102" hidden="1" ht="13.25" customHeight="1">
      <c r="A102" s="630" t="n">
        <v>14</v>
      </c>
      <c r="B102" s="588" t="inlineStr">
        <is>
          <t>木</t>
        </is>
      </c>
      <c r="C102" s="879" t="n">
        <v>744.66</v>
      </c>
      <c r="D102" s="879" t="n">
        <v>471.88</v>
      </c>
      <c r="E102" s="879" t="n">
        <v>2.06</v>
      </c>
      <c r="F102" s="881" t="n">
        <v>1021</v>
      </c>
      <c r="G102" s="588" t="n"/>
      <c r="H102" s="588" t="n"/>
      <c r="I102" s="588" t="n">
        <v>1.61</v>
      </c>
      <c r="J102" s="588" t="n">
        <v>600617</v>
      </c>
      <c r="K102" s="588">
        <f>J102-J101</f>
        <v/>
      </c>
      <c r="L102" s="588" t="n">
        <v>227383</v>
      </c>
      <c r="M102" s="882">
        <f>L102-L101</f>
        <v/>
      </c>
      <c r="N102" s="128" t="n"/>
      <c r="O102" s="9" t="n"/>
      <c r="P102" s="9" t="n"/>
      <c r="Q102" s="9" t="n"/>
      <c r="R102" s="9" t="n"/>
      <c r="S102" s="9" t="n"/>
      <c r="T102" s="9" t="n"/>
      <c r="U102" s="9" t="n"/>
      <c r="V102" s="9" t="n"/>
    </row>
    <row r="103" hidden="1" ht="13.25" customHeight="1">
      <c r="A103" s="630" t="n">
        <v>15</v>
      </c>
      <c r="B103" s="588" t="inlineStr">
        <is>
          <t>金</t>
        </is>
      </c>
      <c r="C103" s="879" t="n">
        <v>744.66</v>
      </c>
      <c r="D103" s="879" t="n">
        <v>471.88</v>
      </c>
      <c r="E103" s="879" t="n">
        <v>2.06</v>
      </c>
      <c r="F103" s="881" t="n">
        <v>1021</v>
      </c>
      <c r="G103" s="588" t="n"/>
      <c r="H103" s="588" t="n"/>
      <c r="I103" s="588" t="n"/>
      <c r="J103" s="588" t="n">
        <v>600854</v>
      </c>
      <c r="K103" s="588">
        <f>J103-J102</f>
        <v/>
      </c>
      <c r="L103" s="588" t="n">
        <v>227647</v>
      </c>
      <c r="M103" s="588">
        <f>L103-L102</f>
        <v/>
      </c>
      <c r="N103" s="128" t="n"/>
      <c r="O103" s="9" t="n"/>
      <c r="P103" s="9" t="n"/>
      <c r="Q103" s="9" t="n"/>
      <c r="R103" s="9" t="n"/>
      <c r="S103" s="9" t="n"/>
      <c r="T103" s="9" t="n"/>
      <c r="U103" s="9" t="n"/>
      <c r="V103" s="9" t="n"/>
    </row>
    <row r="104" hidden="1" ht="13.25" customHeight="1">
      <c r="A104" s="630" t="n">
        <v>16</v>
      </c>
      <c r="B104" s="588" t="inlineStr">
        <is>
          <t>土</t>
        </is>
      </c>
      <c r="C104" s="879" t="n"/>
      <c r="D104" s="879" t="n"/>
      <c r="E104" s="879" t="n"/>
      <c r="F104" s="589" t="n"/>
      <c r="G104" s="588" t="n"/>
      <c r="H104" s="588" t="n"/>
      <c r="I104" s="588" t="n"/>
      <c r="J104" s="588" t="n"/>
      <c r="K104" s="588" t="n"/>
      <c r="L104" s="588" t="n"/>
      <c r="M104" s="588" t="n"/>
      <c r="N104" s="128" t="n"/>
      <c r="O104" s="9" t="n"/>
      <c r="P104" s="9" t="n"/>
      <c r="Q104" s="9" t="n"/>
      <c r="R104" s="9" t="n"/>
      <c r="S104" s="9" t="n"/>
      <c r="T104" s="9" t="n"/>
      <c r="U104" s="9" t="n"/>
      <c r="V104" s="9" t="n"/>
    </row>
    <row r="105" hidden="1" ht="13.25" customHeight="1">
      <c r="A105" s="630" t="n">
        <v>17</v>
      </c>
      <c r="B105" s="588" t="inlineStr">
        <is>
          <t>日</t>
        </is>
      </c>
      <c r="C105" s="879" t="n"/>
      <c r="D105" s="879" t="n"/>
      <c r="E105" s="879" t="n"/>
      <c r="F105" s="589" t="n"/>
      <c r="G105" s="588" t="n"/>
      <c r="H105" s="588" t="n"/>
      <c r="I105" s="588" t="n"/>
      <c r="J105" s="588" t="n"/>
      <c r="K105" s="882" t="n"/>
      <c r="L105" s="588" t="n"/>
      <c r="M105" s="882" t="n"/>
      <c r="N105" s="128" t="n"/>
      <c r="O105" s="9" t="n"/>
      <c r="P105" s="9" t="n"/>
      <c r="Q105" s="9" t="n"/>
      <c r="R105" s="9" t="n"/>
      <c r="S105" s="9" t="n"/>
      <c r="T105" s="9" t="n"/>
      <c r="U105" s="9" t="n"/>
      <c r="V105" s="9" t="n"/>
    </row>
    <row r="106" hidden="1" ht="13.25" customHeight="1">
      <c r="A106" s="630" t="n">
        <v>18</v>
      </c>
      <c r="B106" s="588" t="inlineStr">
        <is>
          <t>月</t>
        </is>
      </c>
      <c r="C106" s="879" t="n"/>
      <c r="D106" s="879" t="n"/>
      <c r="E106" s="879" t="n"/>
      <c r="F106" s="589" t="n"/>
      <c r="G106" s="588" t="n"/>
      <c r="H106" s="588" t="n"/>
      <c r="I106" s="588" t="n"/>
      <c r="J106" s="588" t="n"/>
      <c r="K106" s="882" t="n"/>
      <c r="L106" s="588" t="n"/>
      <c r="M106" s="882" t="n"/>
      <c r="N106" s="128" t="n"/>
      <c r="O106" s="9" t="n"/>
      <c r="P106" s="9" t="n"/>
      <c r="Q106" s="9" t="n"/>
      <c r="R106" s="9" t="n"/>
      <c r="S106" s="9" t="n"/>
      <c r="T106" s="9" t="n"/>
      <c r="U106" s="9" t="n"/>
      <c r="V106" s="9" t="n"/>
    </row>
    <row r="107" hidden="1" ht="13.25" customHeight="1">
      <c r="A107" s="630" t="n">
        <v>19</v>
      </c>
      <c r="B107" s="588" t="inlineStr">
        <is>
          <t>火</t>
        </is>
      </c>
      <c r="C107" s="879" t="n">
        <v>744.66</v>
      </c>
      <c r="D107" s="879" t="n">
        <v>471.88</v>
      </c>
      <c r="E107" s="879" t="n">
        <v>2.06</v>
      </c>
      <c r="F107" s="881" t="n">
        <v>1021</v>
      </c>
      <c r="G107" s="588" t="n">
        <v>15</v>
      </c>
      <c r="H107" s="588" t="n"/>
      <c r="I107" s="588" t="n"/>
      <c r="J107" s="588" t="n">
        <v>601981</v>
      </c>
      <c r="K107" s="882">
        <f>(J107-J103)/4</f>
        <v/>
      </c>
      <c r="L107" s="588" t="n">
        <v>228494</v>
      </c>
      <c r="M107" s="882">
        <f>(L107-L103)/4</f>
        <v/>
      </c>
      <c r="N107" s="128" t="n"/>
      <c r="O107" s="9" t="n"/>
      <c r="P107" s="9" t="n"/>
      <c r="Q107" s="9" t="n"/>
      <c r="R107" s="9" t="n"/>
      <c r="S107" s="9" t="n"/>
      <c r="T107" s="9" t="n"/>
      <c r="U107" s="9" t="n"/>
      <c r="V107" s="9" t="n"/>
    </row>
    <row r="108" hidden="1" ht="13.25" customHeight="1">
      <c r="A108" s="630" t="n">
        <v>20</v>
      </c>
      <c r="B108" s="588" t="inlineStr">
        <is>
          <t>水</t>
        </is>
      </c>
      <c r="C108" s="879" t="n">
        <v>775.41</v>
      </c>
      <c r="D108" s="879" t="n">
        <v>491.95</v>
      </c>
      <c r="E108" s="879" t="n">
        <v>2.13</v>
      </c>
      <c r="F108" s="881" t="n">
        <v>1021</v>
      </c>
      <c r="G108" s="588" t="n"/>
      <c r="H108" s="588" t="n">
        <v>1.46</v>
      </c>
      <c r="I108" s="588" t="n"/>
      <c r="J108" s="588" t="n">
        <v>602181</v>
      </c>
      <c r="K108" s="588">
        <f>J108-J107</f>
        <v/>
      </c>
      <c r="L108" s="588" t="n">
        <v>228718</v>
      </c>
      <c r="M108" s="588">
        <f>L108-L107</f>
        <v/>
      </c>
      <c r="N108" s="128" t="n"/>
      <c r="O108" s="9" t="n"/>
      <c r="P108" s="9" t="n"/>
      <c r="Q108" s="9" t="n"/>
      <c r="R108" s="9" t="n"/>
      <c r="S108" s="9" t="n"/>
      <c r="T108" s="9" t="n"/>
      <c r="U108" s="9" t="n"/>
      <c r="V108" s="9" t="n"/>
    </row>
    <row r="109" hidden="1" ht="13.25" customHeight="1">
      <c r="A109" s="630" t="n">
        <v>21</v>
      </c>
      <c r="B109" s="588" t="inlineStr">
        <is>
          <t>木</t>
        </is>
      </c>
      <c r="C109" s="879" t="n">
        <v>744.66</v>
      </c>
      <c r="D109" s="879" t="n">
        <v>471.88</v>
      </c>
      <c r="E109" s="879" t="n">
        <v>2.06</v>
      </c>
      <c r="F109" s="881" t="n">
        <v>1022</v>
      </c>
      <c r="G109" s="588" t="n"/>
      <c r="H109" s="588" t="n"/>
      <c r="I109" s="588" t="n">
        <v>1.46</v>
      </c>
      <c r="J109" s="588" t="n">
        <v>602454</v>
      </c>
      <c r="K109" s="588">
        <f>J109-J108</f>
        <v/>
      </c>
      <c r="L109" s="588" t="n">
        <v>228968</v>
      </c>
      <c r="M109" s="588">
        <f>L109-L108</f>
        <v/>
      </c>
      <c r="N109" s="128" t="n"/>
      <c r="O109" s="9" t="n"/>
      <c r="P109" s="9" t="n"/>
      <c r="Q109" s="9" t="n"/>
      <c r="R109" s="9" t="n"/>
      <c r="S109" s="9" t="n"/>
      <c r="T109" s="9" t="n"/>
      <c r="U109" s="9" t="n"/>
      <c r="V109" s="9" t="n"/>
    </row>
    <row r="110" hidden="1" ht="13.25" customHeight="1">
      <c r="A110" s="630" t="n">
        <v>22</v>
      </c>
      <c r="B110" s="588" t="inlineStr">
        <is>
          <t>金</t>
        </is>
      </c>
      <c r="C110" s="879" t="n">
        <v>744.66</v>
      </c>
      <c r="D110" s="879" t="n">
        <v>471.88</v>
      </c>
      <c r="E110" s="879" t="n">
        <v>2.06</v>
      </c>
      <c r="F110" s="589" t="n">
        <v>1022</v>
      </c>
      <c r="G110" s="588" t="n"/>
      <c r="H110" s="588" t="n"/>
      <c r="I110" s="588" t="n"/>
      <c r="J110" s="588" t="n">
        <v>602712</v>
      </c>
      <c r="K110" s="588">
        <f>J110-J109</f>
        <v/>
      </c>
      <c r="L110" s="588" t="n">
        <v>229228</v>
      </c>
      <c r="M110" s="588">
        <f>L110-L109</f>
        <v/>
      </c>
      <c r="N110" s="128" t="n"/>
      <c r="O110" s="9" t="n"/>
      <c r="P110" s="9" t="n"/>
      <c r="Q110" s="9" t="n"/>
      <c r="R110" s="9" t="n"/>
      <c r="S110" s="9" t="n"/>
      <c r="T110" s="9" t="n"/>
      <c r="U110" s="9" t="n"/>
      <c r="V110" s="9" t="n"/>
    </row>
    <row r="111" hidden="1" ht="13.25" customHeight="1">
      <c r="A111" s="630" t="n">
        <v>23</v>
      </c>
      <c r="B111" s="588" t="inlineStr">
        <is>
          <t>土</t>
        </is>
      </c>
      <c r="C111" s="879" t="n"/>
      <c r="D111" s="879" t="n"/>
      <c r="E111" s="879" t="n"/>
      <c r="F111" s="589" t="n"/>
      <c r="G111" s="588" t="n"/>
      <c r="H111" s="588" t="n"/>
      <c r="I111" s="588" t="n"/>
      <c r="J111" s="588" t="n"/>
      <c r="K111" s="588" t="n"/>
      <c r="L111" s="588" t="n"/>
      <c r="M111" s="588" t="n"/>
      <c r="N111" s="128" t="n"/>
      <c r="O111" s="9" t="n"/>
      <c r="P111" s="9" t="n"/>
      <c r="Q111" s="9" t="n"/>
      <c r="R111" s="9" t="n"/>
      <c r="S111" s="9" t="n"/>
      <c r="T111" s="9" t="n"/>
      <c r="U111" s="9" t="n"/>
      <c r="V111" s="9" t="n"/>
    </row>
    <row r="112" hidden="1" ht="13.25" customHeight="1">
      <c r="A112" s="630" t="n">
        <v>24</v>
      </c>
      <c r="B112" s="588" t="inlineStr">
        <is>
          <t>日</t>
        </is>
      </c>
      <c r="C112" s="879" t="n"/>
      <c r="D112" s="879" t="n"/>
      <c r="E112" s="879" t="n"/>
      <c r="F112" s="589" t="n"/>
      <c r="G112" s="588" t="n"/>
      <c r="H112" s="588" t="n"/>
      <c r="I112" s="588" t="n"/>
      <c r="J112" s="588" t="n"/>
      <c r="K112" s="588" t="n"/>
      <c r="L112" s="588" t="n"/>
      <c r="M112" s="882" t="n"/>
      <c r="N112" s="128" t="n"/>
      <c r="O112" s="9" t="n"/>
      <c r="P112" s="9" t="n"/>
      <c r="Q112" s="9" t="n"/>
      <c r="R112" s="9" t="n"/>
      <c r="S112" s="9" t="n"/>
      <c r="T112" s="9" t="n"/>
      <c r="U112" s="9" t="n"/>
      <c r="V112" s="9" t="n"/>
    </row>
    <row r="113" hidden="1" ht="13.25" customHeight="1">
      <c r="A113" s="630" t="n">
        <v>25</v>
      </c>
      <c r="B113" s="588" t="inlineStr">
        <is>
          <t>月</t>
        </is>
      </c>
      <c r="C113" s="879" t="n">
        <v>744.66</v>
      </c>
      <c r="D113" s="879" t="n">
        <v>471.88</v>
      </c>
      <c r="E113" s="879" t="n">
        <v>2.06</v>
      </c>
      <c r="F113" s="589" t="n">
        <v>1022</v>
      </c>
      <c r="G113" s="588" t="n">
        <v>14</v>
      </c>
      <c r="H113" s="588" t="n"/>
      <c r="I113" s="588" t="n"/>
      <c r="J113" s="588" t="n">
        <v>603505</v>
      </c>
      <c r="K113" s="882">
        <f>(J113-J110)/3</f>
        <v/>
      </c>
      <c r="L113" s="588" t="n">
        <v>230019</v>
      </c>
      <c r="M113" s="882">
        <f>(L113-L110)/3</f>
        <v/>
      </c>
      <c r="N113" s="128" t="n"/>
      <c r="O113" s="9" t="n"/>
      <c r="P113" s="9" t="n"/>
      <c r="Q113" s="9" t="n"/>
      <c r="R113" s="9" t="n"/>
      <c r="S113" s="9" t="n"/>
      <c r="T113" s="9" t="n"/>
      <c r="U113" s="9" t="n"/>
      <c r="V113" s="9" t="n"/>
    </row>
    <row r="114" hidden="1" ht="13.25" customHeight="1">
      <c r="A114" s="630" t="n">
        <v>26</v>
      </c>
      <c r="B114" s="588" t="inlineStr">
        <is>
          <t>火</t>
        </is>
      </c>
      <c r="C114" s="879" t="n">
        <v>744.66</v>
      </c>
      <c r="D114" s="879" t="n">
        <v>471.88</v>
      </c>
      <c r="E114" s="879" t="n">
        <v>2.06</v>
      </c>
      <c r="F114" s="589" t="n">
        <v>1022</v>
      </c>
      <c r="G114" s="588" t="n"/>
      <c r="H114" s="588" t="n"/>
      <c r="I114" s="588" t="n"/>
      <c r="J114" s="588" t="n">
        <v>603754</v>
      </c>
      <c r="K114" s="588">
        <f>J114-J113</f>
        <v/>
      </c>
      <c r="L114" s="588" t="n">
        <v>230270</v>
      </c>
      <c r="M114" s="588">
        <f>L114-L113</f>
        <v/>
      </c>
      <c r="N114" s="128" t="n"/>
      <c r="O114" s="9" t="n"/>
      <c r="P114" s="9" t="n"/>
      <c r="Q114" s="9" t="n"/>
      <c r="R114" s="9" t="n"/>
      <c r="S114" s="9" t="n"/>
      <c r="T114" s="9" t="n"/>
      <c r="U114" s="9" t="n"/>
      <c r="V114" s="9" t="n"/>
    </row>
    <row r="115" hidden="1" ht="13.25" customHeight="1">
      <c r="A115" s="630" t="n">
        <v>27</v>
      </c>
      <c r="B115" s="588" t="inlineStr">
        <is>
          <t>水</t>
        </is>
      </c>
      <c r="C115" s="879" t="n">
        <v>744.66</v>
      </c>
      <c r="D115" s="879" t="n">
        <v>471.88</v>
      </c>
      <c r="E115" s="879" t="n">
        <v>2.06</v>
      </c>
      <c r="F115" s="589" t="n">
        <v>1022</v>
      </c>
      <c r="G115" s="588" t="n"/>
      <c r="H115" s="588" t="n">
        <v>1.33</v>
      </c>
      <c r="I115" s="588" t="n"/>
      <c r="J115" s="588" t="n">
        <v>604011</v>
      </c>
      <c r="K115" s="588">
        <f>J115-J114</f>
        <v/>
      </c>
      <c r="L115" s="588" t="n">
        <v>230530</v>
      </c>
      <c r="M115" s="588">
        <f>L115-L114</f>
        <v/>
      </c>
      <c r="N115" s="128" t="n"/>
      <c r="O115" s="9" t="n"/>
      <c r="P115" s="9" t="n"/>
      <c r="Q115" s="9" t="n"/>
      <c r="R115" s="9" t="n"/>
      <c r="S115" s="9" t="n"/>
      <c r="T115" s="9" t="n"/>
      <c r="U115" s="9" t="n"/>
      <c r="V115" s="9" t="n"/>
    </row>
    <row r="116" hidden="1" ht="13.25" customHeight="1">
      <c r="A116" s="630" t="n">
        <v>28</v>
      </c>
      <c r="B116" s="588" t="inlineStr">
        <is>
          <t>木</t>
        </is>
      </c>
      <c r="C116" s="879" t="n">
        <v>787.33</v>
      </c>
      <c r="D116" s="879" t="n">
        <v>499.89</v>
      </c>
      <c r="E116" s="879" t="n">
        <v>2.06</v>
      </c>
      <c r="F116" s="589" t="n">
        <v>1022</v>
      </c>
      <c r="G116" s="588" t="n"/>
      <c r="H116" s="588" t="n"/>
      <c r="I116" s="588" t="n">
        <v>1.33</v>
      </c>
      <c r="J116" s="588" t="n">
        <v>604277</v>
      </c>
      <c r="K116" s="588">
        <f>J116-J115</f>
        <v/>
      </c>
      <c r="L116" s="588" t="n">
        <v>230804</v>
      </c>
      <c r="M116" s="588">
        <f>L116-L115</f>
        <v/>
      </c>
      <c r="N116" s="128" t="n"/>
      <c r="O116" s="9" t="n"/>
      <c r="P116" s="9" t="n"/>
      <c r="Q116" s="9" t="n"/>
      <c r="R116" s="9" t="n"/>
      <c r="S116" s="9" t="n"/>
      <c r="T116" s="9" t="n"/>
      <c r="U116" s="9" t="n"/>
      <c r="V116" s="9" t="n"/>
    </row>
    <row r="117" hidden="1" ht="13.25" customHeight="1">
      <c r="A117" s="630" t="n">
        <v>29</v>
      </c>
      <c r="B117" s="588" t="inlineStr">
        <is>
          <t>金</t>
        </is>
      </c>
      <c r="C117" s="879" t="n">
        <v>744.66</v>
      </c>
      <c r="D117" s="879" t="n">
        <v>471.88</v>
      </c>
      <c r="E117" s="879" t="n">
        <v>2.06</v>
      </c>
      <c r="F117" s="589" t="n">
        <v>1022</v>
      </c>
      <c r="G117" s="588" t="n"/>
      <c r="H117" s="588" t="n"/>
      <c r="I117" s="588" t="n"/>
      <c r="J117" s="588" t="n">
        <v>604519</v>
      </c>
      <c r="K117" s="588">
        <f>J117-J116</f>
        <v/>
      </c>
      <c r="L117" s="588" t="n">
        <v>231030</v>
      </c>
      <c r="M117" s="588">
        <f>L117-L116</f>
        <v/>
      </c>
      <c r="N117" s="128" t="n"/>
      <c r="O117" s="9" t="n"/>
      <c r="P117" s="9" t="n"/>
      <c r="Q117" s="9" t="n"/>
      <c r="R117" s="9" t="n"/>
      <c r="S117" s="9" t="n"/>
      <c r="T117" s="9" t="n"/>
      <c r="U117" s="9" t="n"/>
      <c r="V117" s="9" t="n"/>
    </row>
    <row r="118" hidden="1" ht="13.25" customHeight="1">
      <c r="A118" s="630" t="n">
        <v>30</v>
      </c>
      <c r="B118" s="588" t="inlineStr">
        <is>
          <t>土</t>
        </is>
      </c>
      <c r="C118" s="879" t="n"/>
      <c r="D118" s="879" t="n"/>
      <c r="E118" s="879" t="n"/>
      <c r="F118" s="589" t="n"/>
      <c r="G118" s="588" t="n"/>
      <c r="H118" s="588" t="n"/>
      <c r="I118" s="588" t="n"/>
      <c r="J118" s="588" t="n"/>
      <c r="K118" s="588" t="n"/>
      <c r="L118" s="588" t="n"/>
      <c r="M118" s="588" t="n"/>
      <c r="N118" s="128" t="n"/>
      <c r="O118" s="9" t="n"/>
      <c r="P118" s="9" t="n"/>
      <c r="Q118" s="9" t="n"/>
      <c r="R118" s="9" t="n"/>
      <c r="S118" s="9" t="n"/>
      <c r="T118" s="9" t="n"/>
      <c r="U118" s="9" t="n"/>
      <c r="V118" s="9" t="n"/>
    </row>
    <row r="119" hidden="1" ht="13.25" customHeight="1">
      <c r="A119" s="630" t="n"/>
      <c r="B119" s="588" t="n"/>
      <c r="C119" s="879" t="n"/>
      <c r="D119" s="879" t="n"/>
      <c r="E119" s="879" t="n"/>
      <c r="F119" s="589" t="n"/>
      <c r="G119" s="588" t="n"/>
      <c r="H119" s="588" t="n"/>
      <c r="I119" s="588" t="n"/>
      <c r="J119" s="588" t="n"/>
      <c r="K119" s="588" t="n"/>
      <c r="L119" s="588" t="n"/>
      <c r="M119" s="588" t="n"/>
      <c r="N119" s="128" t="n"/>
      <c r="O119" s="9" t="n"/>
      <c r="P119" s="9" t="n"/>
      <c r="Q119" s="9" t="n"/>
      <c r="R119" s="9" t="n"/>
      <c r="S119" s="9" t="n"/>
      <c r="T119" s="9" t="n"/>
      <c r="U119" s="9" t="n"/>
      <c r="V119" s="9" t="n"/>
    </row>
    <row r="120" hidden="1" ht="13.25" customHeight="1">
      <c r="A120" s="589" t="inlineStr">
        <is>
          <t>最大</t>
        </is>
      </c>
      <c r="B120" s="580" t="n"/>
      <c r="C120" s="176" t="inlineStr">
        <is>
          <t>－</t>
        </is>
      </c>
      <c r="D120" s="176" t="inlineStr">
        <is>
          <t>－</t>
        </is>
      </c>
      <c r="E120" s="176" t="inlineStr">
        <is>
          <t>－</t>
        </is>
      </c>
      <c r="F120" s="176" t="inlineStr">
        <is>
          <t>－</t>
        </is>
      </c>
      <c r="G120" s="588">
        <f>MAX(G92,G99,G107,G113)</f>
        <v/>
      </c>
      <c r="H120" s="168">
        <f>MAX(H101,H108,H115)</f>
        <v/>
      </c>
      <c r="I120" s="168">
        <f>MAX(I102,I109,I116)</f>
        <v/>
      </c>
      <c r="J120" s="176" t="inlineStr">
        <is>
          <t>－</t>
        </is>
      </c>
      <c r="K120" s="883">
        <f>MAX(K89,K92:K96,K99:K104,K107:K110,K113:K117)</f>
        <v/>
      </c>
      <c r="L120" s="176" t="inlineStr">
        <is>
          <t>－</t>
        </is>
      </c>
      <c r="M120" s="883">
        <f>MAX(M89,M92:M96,M99:M104,M107:M110,M113:M117)</f>
        <v/>
      </c>
      <c r="N120" s="128" t="n"/>
      <c r="O120" s="9" t="n"/>
      <c r="P120" s="9" t="n"/>
      <c r="Q120" s="9" t="n"/>
      <c r="R120" s="9" t="n"/>
      <c r="S120" s="9" t="n"/>
      <c r="T120" s="9" t="n"/>
      <c r="U120" s="9" t="n"/>
      <c r="V120" s="9" t="n"/>
    </row>
    <row r="121" hidden="1" ht="13.25" customHeight="1">
      <c r="A121" s="589" t="inlineStr">
        <is>
          <t>平均</t>
        </is>
      </c>
      <c r="B121" s="580" t="n"/>
      <c r="C121" s="176" t="inlineStr">
        <is>
          <t>－</t>
        </is>
      </c>
      <c r="D121" s="176" t="inlineStr">
        <is>
          <t>－</t>
        </is>
      </c>
      <c r="E121" s="176" t="inlineStr">
        <is>
          <t>－</t>
        </is>
      </c>
      <c r="F121" s="176" t="inlineStr">
        <is>
          <t>－</t>
        </is>
      </c>
      <c r="G121" s="884">
        <f>AVERAGE(G92,G99,G107,G113)</f>
        <v/>
      </c>
      <c r="H121" s="168">
        <f>AVERAGE(H101,H108,H115)</f>
        <v/>
      </c>
      <c r="I121" s="168">
        <f>AVERAGE(I102,I109,I116)</f>
        <v/>
      </c>
      <c r="J121" s="176" t="inlineStr">
        <is>
          <t>－</t>
        </is>
      </c>
      <c r="K121" s="883">
        <f>AVERAGE(K89,K92:K96,K99:K103,K107:K110,K113:K117)</f>
        <v/>
      </c>
      <c r="L121" s="176" t="inlineStr">
        <is>
          <t>－</t>
        </is>
      </c>
      <c r="M121" s="883">
        <f>AVERAGE(M89,M92:M96,M99:M103,M107:M110,M113:M117)</f>
        <v/>
      </c>
      <c r="N121" s="128" t="n"/>
      <c r="O121" s="9" t="n"/>
      <c r="P121" s="9" t="n"/>
      <c r="Q121" s="9" t="n"/>
      <c r="R121" s="9" t="n"/>
      <c r="S121" s="9" t="n"/>
      <c r="T121" s="9" t="n"/>
      <c r="U121" s="9" t="n"/>
      <c r="V121" s="9" t="n"/>
    </row>
    <row r="122" hidden="1" ht="13.25" customHeight="1">
      <c r="A122" s="589" t="inlineStr">
        <is>
          <t>最小</t>
        </is>
      </c>
      <c r="B122" s="580" t="n"/>
      <c r="C122" s="176" t="inlineStr">
        <is>
          <t>－</t>
        </is>
      </c>
      <c r="D122" s="176" t="inlineStr">
        <is>
          <t>－</t>
        </is>
      </c>
      <c r="E122" s="176" t="inlineStr">
        <is>
          <t>－</t>
        </is>
      </c>
      <c r="F122" s="176" t="inlineStr">
        <is>
          <t>－</t>
        </is>
      </c>
      <c r="G122" s="588">
        <f>MIN(G92,G99,G107,G113)</f>
        <v/>
      </c>
      <c r="H122" s="168">
        <f>MIN(H101,H108,H115)</f>
        <v/>
      </c>
      <c r="I122" s="168">
        <f>MIN(I102,I109,I116)</f>
        <v/>
      </c>
      <c r="J122" s="176" t="inlineStr">
        <is>
          <t>－</t>
        </is>
      </c>
      <c r="K122" s="883">
        <f>MIN(K89,K92:K96,K99:K103,K107:K110,K113:K117)</f>
        <v/>
      </c>
      <c r="L122" s="176" t="inlineStr">
        <is>
          <t>－</t>
        </is>
      </c>
      <c r="M122" s="883">
        <f>MIN(M89,M92:M96,M99:M103,M107:M110,M113:M117)</f>
        <v/>
      </c>
      <c r="N122" s="128" t="n"/>
      <c r="O122" s="9" t="n"/>
      <c r="P122" s="9" t="n"/>
      <c r="Q122" s="9" t="n"/>
      <c r="R122" s="9" t="n"/>
      <c r="S122" s="9" t="n"/>
      <c r="T122" s="9" t="n"/>
      <c r="U122" s="9" t="n"/>
      <c r="V122" s="9" t="n"/>
    </row>
    <row r="123" hidden="1" ht="13.25" customHeight="1">
      <c r="A123" s="589" t="inlineStr">
        <is>
          <t>合計</t>
        </is>
      </c>
      <c r="B123" s="580" t="n"/>
      <c r="C123" s="176" t="inlineStr">
        <is>
          <t>－</t>
        </is>
      </c>
      <c r="D123" s="176" t="inlineStr">
        <is>
          <t>－</t>
        </is>
      </c>
      <c r="E123" s="176" t="inlineStr">
        <is>
          <t>－</t>
        </is>
      </c>
      <c r="F123" s="176" t="inlineStr">
        <is>
          <t>－</t>
        </is>
      </c>
      <c r="G123" s="588">
        <f>SUM(G92,G99,G107,G113)</f>
        <v/>
      </c>
      <c r="H123" s="168">
        <f>SUM(H101,H108,H115)</f>
        <v/>
      </c>
      <c r="I123" s="168">
        <f>SUM(I102,I109,I116)</f>
        <v/>
      </c>
      <c r="J123" s="176" t="inlineStr">
        <is>
          <t>－</t>
        </is>
      </c>
      <c r="K123" s="883">
        <f>SUM(K89,K92:K96,K99:K103,K107:K110,K113:K117)</f>
        <v/>
      </c>
      <c r="L123" s="176" t="inlineStr">
        <is>
          <t>－</t>
        </is>
      </c>
      <c r="M123" s="883">
        <f>SUM(M89,M92:M96,M99:M103,M107:M110,M113:M117)</f>
        <v/>
      </c>
      <c r="N123" s="128" t="n"/>
      <c r="O123" s="9" t="n"/>
      <c r="P123" s="9" t="n"/>
      <c r="Q123" s="9" t="n"/>
      <c r="R123" s="9" t="n"/>
      <c r="S123" s="9" t="n"/>
      <c r="T123" s="9" t="n"/>
      <c r="U123" s="9" t="n"/>
      <c r="V123" s="9" t="n"/>
    </row>
    <row r="124" hidden="1" ht="30" customHeight="1">
      <c r="A124" s="127" t="inlineStr">
        <is>
          <t xml:space="preserve">　吉和水質管理センター運転管理月報</t>
        </is>
      </c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676" t="inlineStr">
        <is>
          <t xml:space="preserve">　　　　　　　　平成18年10月分</t>
        </is>
      </c>
      <c r="K124" s="598" t="n"/>
      <c r="L124" s="598" t="n"/>
      <c r="M124" s="598" t="n"/>
      <c r="N124" s="128" t="n"/>
      <c r="O124" s="9" t="n"/>
      <c r="P124" s="9" t="n"/>
      <c r="Q124" s="9" t="n"/>
      <c r="R124" s="9" t="n"/>
      <c r="S124" s="9" t="n"/>
      <c r="T124" s="9" t="n"/>
      <c r="U124" s="9" t="n"/>
      <c r="V124" s="9" t="n"/>
    </row>
    <row r="125" hidden="1" ht="13.5" customHeight="1">
      <c r="A125" s="678" t="inlineStr">
        <is>
          <t>日付</t>
        </is>
      </c>
      <c r="B125" s="678" t="inlineStr">
        <is>
          <t>曜日</t>
        </is>
      </c>
      <c r="C125" s="680" t="inlineStr">
        <is>
          <t>全日電力量読み値</t>
        </is>
      </c>
      <c r="D125" s="680" t="inlineStr">
        <is>
          <t>力測電力量読み値</t>
        </is>
      </c>
      <c r="E125" s="680" t="inlineStr">
        <is>
          <t>無効電力量読み値</t>
        </is>
      </c>
      <c r="F125" s="680" t="inlineStr">
        <is>
          <t>上水使用量読み値</t>
        </is>
      </c>
      <c r="G125" s="589" t="inlineStr">
        <is>
          <t>固形塩素</t>
        </is>
      </c>
      <c r="H125" s="589" t="inlineStr">
        <is>
          <t>脱水ケーキ</t>
        </is>
      </c>
      <c r="I125" s="580" t="n"/>
      <c r="J125" s="683" t="inlineStr">
        <is>
          <t>No.1</t>
        </is>
      </c>
      <c r="K125" s="587" t="n"/>
      <c r="L125" s="683" t="inlineStr">
        <is>
          <t>No.2</t>
        </is>
      </c>
      <c r="M125" s="587" t="n"/>
      <c r="N125" s="128" t="n"/>
      <c r="O125" s="9" t="n"/>
      <c r="P125" s="9" t="n"/>
      <c r="Q125" s="9" t="n"/>
      <c r="R125" s="9" t="n"/>
      <c r="S125" s="9" t="n"/>
      <c r="T125" s="9" t="n"/>
      <c r="U125" s="9" t="n"/>
      <c r="V125" s="9" t="n"/>
    </row>
    <row r="126" hidden="1" ht="13.5" customHeight="1">
      <c r="A126" s="679" t="n"/>
      <c r="B126" s="679" t="n"/>
      <c r="C126" s="679" t="n"/>
      <c r="D126" s="679" t="n"/>
      <c r="E126" s="679" t="n"/>
      <c r="F126" s="679" t="n"/>
      <c r="G126" s="589" t="inlineStr">
        <is>
          <t>使用量</t>
        </is>
      </c>
      <c r="H126" s="589" t="inlineStr">
        <is>
          <t>発生量</t>
        </is>
      </c>
      <c r="I126" s="589" t="inlineStr">
        <is>
          <t>搬出量</t>
        </is>
      </c>
      <c r="J126" s="677" t="inlineStr">
        <is>
          <t>返送汚泥</t>
        </is>
      </c>
      <c r="K126" s="641" t="n"/>
      <c r="L126" s="677" t="inlineStr">
        <is>
          <t>返送汚泥</t>
        </is>
      </c>
      <c r="M126" s="641" t="n"/>
      <c r="N126" s="128" t="n"/>
      <c r="O126" s="9" t="n"/>
      <c r="P126" s="9" t="n"/>
      <c r="Q126" s="9" t="n"/>
      <c r="R126" s="9" t="n"/>
      <c r="S126" s="9" t="n"/>
      <c r="T126" s="9" t="n"/>
      <c r="U126" s="9" t="n"/>
      <c r="V126" s="9" t="n"/>
    </row>
    <row r="127" hidden="1" ht="13.5" customHeight="1">
      <c r="A127" s="679" t="n"/>
      <c r="B127" s="679" t="n"/>
      <c r="C127" s="626" t="n"/>
      <c r="D127" s="626" t="n"/>
      <c r="E127" s="626" t="n"/>
      <c r="F127" s="626" t="n"/>
      <c r="G127" s="626" t="n"/>
      <c r="H127" s="626" t="n"/>
      <c r="I127" s="626" t="n"/>
      <c r="J127" s="627" t="inlineStr">
        <is>
          <t>流　　量</t>
        </is>
      </c>
      <c r="K127" s="591" t="n"/>
      <c r="L127" s="627" t="inlineStr">
        <is>
          <t>流　　量</t>
        </is>
      </c>
      <c r="M127" s="591" t="n"/>
      <c r="N127" s="128" t="n"/>
      <c r="O127" s="9" t="n"/>
      <c r="P127" s="9" t="n"/>
      <c r="Q127" s="9" t="n"/>
      <c r="R127" s="9" t="n"/>
      <c r="S127" s="9" t="n"/>
      <c r="T127" s="9" t="n"/>
      <c r="U127" s="9" t="n"/>
      <c r="V127" s="9" t="n"/>
    </row>
    <row r="128" hidden="1" ht="13.5" customHeight="1">
      <c r="A128" s="626" t="n"/>
      <c r="B128" s="626" t="n"/>
      <c r="C128" s="588" t="inlineStr">
        <is>
          <t>kwh</t>
        </is>
      </c>
      <c r="D128" s="588" t="inlineStr">
        <is>
          <t>kwh</t>
        </is>
      </c>
      <c r="E128" s="588" t="inlineStr">
        <is>
          <t>kvarh</t>
        </is>
      </c>
      <c r="F128" s="588" t="inlineStr">
        <is>
          <t>㎥</t>
        </is>
      </c>
      <c r="G128" s="588" t="inlineStr">
        <is>
          <t>kg</t>
        </is>
      </c>
      <c r="H128" s="588" t="inlineStr">
        <is>
          <t>ｔ</t>
        </is>
      </c>
      <c r="I128" s="588" t="inlineStr">
        <is>
          <t>ｔ</t>
        </is>
      </c>
      <c r="J128" s="588" t="inlineStr">
        <is>
          <t>㎥</t>
        </is>
      </c>
      <c r="K128" s="580" t="n"/>
      <c r="L128" s="588" t="inlineStr">
        <is>
          <t>㎥</t>
        </is>
      </c>
      <c r="M128" s="580" t="n"/>
      <c r="N128" s="128" t="n"/>
      <c r="O128" s="9" t="n"/>
      <c r="P128" s="9" t="n"/>
      <c r="Q128" s="9" t="n"/>
      <c r="R128" s="9" t="n"/>
      <c r="S128" s="9" t="n"/>
      <c r="T128" s="9" t="n"/>
      <c r="U128" s="9" t="n"/>
      <c r="V128" s="9" t="n"/>
    </row>
    <row r="129" hidden="1" ht="13.25" customHeight="1">
      <c r="A129" s="630" t="n">
        <v>1</v>
      </c>
      <c r="B129" s="588" t="inlineStr">
        <is>
          <t>日</t>
        </is>
      </c>
      <c r="C129" s="878" t="n"/>
      <c r="D129" s="878" t="n"/>
      <c r="E129" s="878" t="n"/>
      <c r="F129" s="588" t="n"/>
      <c r="G129" s="588" t="n"/>
      <c r="H129" s="588" t="n"/>
      <c r="I129" s="588" t="n"/>
      <c r="J129" s="588" t="n"/>
      <c r="K129" s="588" t="n"/>
      <c r="L129" s="588" t="n"/>
      <c r="M129" s="588" t="n"/>
      <c r="N129" s="128" t="n"/>
      <c r="O129" s="9" t="n"/>
      <c r="P129" s="9" t="n"/>
      <c r="Q129" s="9" t="n"/>
      <c r="R129" s="9" t="n"/>
      <c r="S129" s="9" t="n"/>
      <c r="T129" s="9" t="n"/>
      <c r="U129" s="9" t="n"/>
      <c r="V129" s="9" t="n"/>
    </row>
    <row r="130" hidden="1" ht="13.25" customHeight="1">
      <c r="A130" s="630" t="n">
        <v>2</v>
      </c>
      <c r="B130" s="588" t="inlineStr">
        <is>
          <t>月</t>
        </is>
      </c>
      <c r="C130" s="878" t="n">
        <v>790.41</v>
      </c>
      <c r="D130" s="878" t="n">
        <v>501.99</v>
      </c>
      <c r="E130" s="878" t="n">
        <v>2.14</v>
      </c>
      <c r="F130" s="588" t="n">
        <v>1022</v>
      </c>
      <c r="G130" s="588" t="n">
        <v>12</v>
      </c>
      <c r="H130" s="588" t="n"/>
      <c r="I130" s="588" t="n"/>
      <c r="J130" s="588" t="n">
        <v>605206</v>
      </c>
      <c r="K130" s="588">
        <f>(J130-J117)/3</f>
        <v/>
      </c>
      <c r="L130" s="588" t="n">
        <v>231772</v>
      </c>
      <c r="M130" s="882">
        <f>(L130-L117)/3</f>
        <v/>
      </c>
      <c r="N130" s="128" t="n"/>
      <c r="O130" s="9" t="n"/>
      <c r="P130" s="9" t="n"/>
      <c r="Q130" s="9" t="n"/>
      <c r="R130" s="9" t="n"/>
      <c r="S130" s="9" t="n"/>
      <c r="T130" s="9" t="n"/>
      <c r="U130" s="9" t="n"/>
      <c r="V130" s="9" t="n"/>
    </row>
    <row r="131" hidden="1" ht="13.25" customHeight="1">
      <c r="A131" s="630" t="n">
        <v>3</v>
      </c>
      <c r="B131" s="588" t="inlineStr">
        <is>
          <t>火</t>
        </is>
      </c>
      <c r="C131" s="878" t="n">
        <v>790.41</v>
      </c>
      <c r="D131" s="878" t="n">
        <v>501.99</v>
      </c>
      <c r="E131" s="879" t="n">
        <v>2.14</v>
      </c>
      <c r="F131" s="588" t="n">
        <v>1023</v>
      </c>
      <c r="G131" s="128" t="n"/>
      <c r="H131" s="588" t="n"/>
      <c r="I131" s="588" t="n"/>
      <c r="J131" s="588" t="n">
        <v>605459</v>
      </c>
      <c r="K131" s="588">
        <f>J131-J130</f>
        <v/>
      </c>
      <c r="L131" s="588" t="n">
        <v>232020</v>
      </c>
      <c r="M131" s="588">
        <f>L131-L130</f>
        <v/>
      </c>
      <c r="N131" s="128" t="n"/>
      <c r="O131" s="9" t="n"/>
      <c r="P131" s="9" t="n"/>
      <c r="Q131" s="9" t="n"/>
      <c r="R131" s="9" t="n"/>
      <c r="S131" s="9" t="n"/>
      <c r="T131" s="9" t="n"/>
      <c r="U131" s="9" t="n"/>
      <c r="V131" s="9" t="n"/>
    </row>
    <row r="132" hidden="1" ht="13.25" customHeight="1">
      <c r="A132" s="630" t="n">
        <v>4</v>
      </c>
      <c r="B132" s="588" t="inlineStr">
        <is>
          <t>水</t>
        </is>
      </c>
      <c r="C132" s="878" t="n">
        <v>790.41</v>
      </c>
      <c r="D132" s="879" t="n">
        <v>501.99</v>
      </c>
      <c r="E132" s="879" t="n">
        <v>2.14</v>
      </c>
      <c r="F132" s="588" t="n">
        <v>1038</v>
      </c>
      <c r="G132" s="588" t="n"/>
      <c r="H132" s="880" t="n">
        <v>1.26</v>
      </c>
      <c r="I132" s="588" t="n"/>
      <c r="J132" s="588" t="n">
        <v>605695</v>
      </c>
      <c r="K132" s="588">
        <f>J132-J131</f>
        <v/>
      </c>
      <c r="L132" s="588" t="n">
        <v>232253</v>
      </c>
      <c r="M132" s="588">
        <f>L132-L131</f>
        <v/>
      </c>
      <c r="N132" s="128" t="n"/>
      <c r="O132" s="9" t="n"/>
      <c r="P132" s="9" t="n"/>
      <c r="Q132" s="9" t="n"/>
      <c r="R132" s="9" t="n"/>
      <c r="S132" s="9" t="n"/>
      <c r="T132" s="9" t="n"/>
      <c r="U132" s="9" t="n"/>
      <c r="V132" s="9" t="n"/>
    </row>
    <row r="133" hidden="1" ht="13.25" customHeight="1">
      <c r="A133" s="630" t="n">
        <v>5</v>
      </c>
      <c r="B133" s="588" t="inlineStr">
        <is>
          <t>木</t>
        </is>
      </c>
      <c r="C133" s="878" t="n">
        <v>790.41</v>
      </c>
      <c r="D133" s="879" t="n">
        <v>501.99</v>
      </c>
      <c r="E133" s="879" t="n">
        <v>2.14</v>
      </c>
      <c r="F133" s="588" t="n">
        <v>1038</v>
      </c>
      <c r="G133" s="588" t="n"/>
      <c r="H133" s="588" t="n"/>
      <c r="I133" s="880" t="n">
        <v>1.26</v>
      </c>
      <c r="J133" s="588" t="n">
        <v>605959</v>
      </c>
      <c r="K133" s="588">
        <f>J133-J132</f>
        <v/>
      </c>
      <c r="L133" s="588" t="n">
        <v>232510</v>
      </c>
      <c r="M133" s="588">
        <f>L133-L132</f>
        <v/>
      </c>
      <c r="N133" s="128" t="n"/>
      <c r="O133" s="9" t="n"/>
      <c r="P133" s="9" t="n"/>
      <c r="Q133" s="9" t="n"/>
      <c r="R133" s="9" t="n"/>
      <c r="S133" s="9" t="n"/>
      <c r="T133" s="9" t="n"/>
      <c r="U133" s="9" t="n"/>
      <c r="V133" s="9" t="n"/>
    </row>
    <row r="134" hidden="1" ht="13.25" customHeight="1">
      <c r="A134" s="630" t="n">
        <v>6</v>
      </c>
      <c r="B134" s="588" t="inlineStr">
        <is>
          <t>金</t>
        </is>
      </c>
      <c r="C134" s="878" t="n">
        <v>790.41</v>
      </c>
      <c r="D134" s="879" t="n">
        <v>501.99</v>
      </c>
      <c r="E134" s="879" t="n">
        <v>2.14</v>
      </c>
      <c r="F134" s="588" t="n">
        <v>1039</v>
      </c>
      <c r="G134" s="588" t="n"/>
      <c r="H134" s="588" t="n"/>
      <c r="I134" s="588" t="n"/>
      <c r="J134" s="588" t="n">
        <v>606202</v>
      </c>
      <c r="K134" s="588">
        <f>J134-J133</f>
        <v/>
      </c>
      <c r="L134" s="588" t="n">
        <v>232766</v>
      </c>
      <c r="M134" s="588">
        <f>L134-L133</f>
        <v/>
      </c>
      <c r="N134" s="128" t="n"/>
      <c r="O134" s="9" t="n"/>
      <c r="P134" s="9" t="n"/>
      <c r="Q134" s="9" t="n"/>
      <c r="R134" s="9" t="n"/>
      <c r="S134" s="9" t="n"/>
      <c r="T134" s="9" t="n"/>
      <c r="U134" s="9" t="n"/>
      <c r="V134" s="9" t="n"/>
    </row>
    <row r="135" hidden="1" ht="13.25" customHeight="1">
      <c r="A135" s="630" t="n">
        <v>7</v>
      </c>
      <c r="B135" s="588" t="inlineStr">
        <is>
          <t>土</t>
        </is>
      </c>
      <c r="C135" s="879" t="n"/>
      <c r="D135" s="879" t="n"/>
      <c r="E135" s="879" t="n"/>
      <c r="F135" s="588" t="n"/>
      <c r="G135" s="588" t="n"/>
      <c r="H135" s="588" t="n"/>
      <c r="I135" s="588" t="n"/>
      <c r="J135" s="588" t="n"/>
      <c r="K135" s="882" t="n"/>
      <c r="L135" s="588" t="n"/>
      <c r="M135" s="588" t="n"/>
      <c r="N135" s="128" t="n"/>
      <c r="O135" s="9" t="n"/>
      <c r="P135" s="9" t="n"/>
      <c r="Q135" s="9" t="n"/>
      <c r="R135" s="9" t="n"/>
      <c r="S135" s="9" t="n"/>
      <c r="T135" s="9" t="n"/>
      <c r="U135" s="9" t="n"/>
      <c r="V135" s="9" t="n"/>
    </row>
    <row r="136" hidden="1" ht="13.25" customHeight="1">
      <c r="A136" s="630" t="n">
        <v>8</v>
      </c>
      <c r="B136" s="588" t="inlineStr">
        <is>
          <t>日</t>
        </is>
      </c>
      <c r="C136" s="879" t="n"/>
      <c r="D136" s="879" t="n"/>
      <c r="E136" s="879" t="n"/>
      <c r="F136" s="588" t="n"/>
      <c r="G136" s="588" t="n"/>
      <c r="H136" s="588" t="n"/>
      <c r="I136" s="588" t="n"/>
      <c r="J136" s="588" t="n"/>
      <c r="K136" s="882" t="n"/>
      <c r="L136" s="588" t="n"/>
      <c r="M136" s="588" t="n"/>
      <c r="N136" s="128" t="n"/>
      <c r="O136" s="9" t="n"/>
      <c r="P136" s="9" t="n"/>
      <c r="Q136" s="9" t="n"/>
      <c r="R136" s="9" t="n"/>
      <c r="S136" s="9" t="n"/>
      <c r="T136" s="9" t="n"/>
      <c r="U136" s="9" t="n"/>
      <c r="V136" s="9" t="n"/>
    </row>
    <row r="137" hidden="1" ht="13.25" customHeight="1">
      <c r="A137" s="630" t="n">
        <v>9</v>
      </c>
      <c r="B137" s="588" t="inlineStr">
        <is>
          <t>月</t>
        </is>
      </c>
      <c r="C137" s="879" t="n"/>
      <c r="D137" s="879" t="n"/>
      <c r="E137" s="879" t="n"/>
      <c r="F137" s="881" t="n"/>
      <c r="G137" s="588" t="n"/>
      <c r="H137" s="588" t="n"/>
      <c r="I137" s="588" t="n"/>
      <c r="J137" s="588" t="n"/>
      <c r="K137" s="588" t="n"/>
      <c r="L137" s="588" t="n"/>
      <c r="M137" s="588" t="n"/>
      <c r="N137" s="128" t="n"/>
      <c r="O137" s="9" t="n"/>
      <c r="P137" s="9" t="n"/>
      <c r="Q137" s="9" t="n"/>
      <c r="R137" s="9" t="n"/>
      <c r="S137" s="9" t="n"/>
      <c r="T137" s="9" t="n"/>
      <c r="U137" s="9" t="n"/>
      <c r="V137" s="9" t="n"/>
    </row>
    <row r="138" hidden="1" ht="13.25" customHeight="1">
      <c r="A138" s="630" t="n">
        <v>10</v>
      </c>
      <c r="B138" s="588" t="inlineStr">
        <is>
          <t>火</t>
        </is>
      </c>
      <c r="C138" s="879" t="n">
        <v>803.65</v>
      </c>
      <c r="D138" s="879" t="n">
        <v>510.91</v>
      </c>
      <c r="E138" s="879" t="n">
        <v>2.14</v>
      </c>
      <c r="F138" s="881" t="n">
        <v>1039</v>
      </c>
      <c r="G138" s="588" t="n">
        <v>12</v>
      </c>
      <c r="H138" s="588" t="n"/>
      <c r="I138" s="588" t="n"/>
      <c r="J138" s="588" t="n">
        <v>607261</v>
      </c>
      <c r="K138" s="882">
        <f>(J138-J134)/4</f>
        <v/>
      </c>
      <c r="L138" s="588" t="n">
        <v>233688</v>
      </c>
      <c r="M138" s="882">
        <f>(L138-L134)/4</f>
        <v/>
      </c>
      <c r="N138" s="128" t="n"/>
      <c r="O138" s="9" t="n"/>
      <c r="P138" s="9" t="n"/>
      <c r="Q138" s="9" t="n"/>
      <c r="R138" s="9" t="n"/>
      <c r="S138" s="9" t="n"/>
      <c r="T138" s="9" t="n"/>
      <c r="U138" s="9" t="n"/>
      <c r="V138" s="9" t="n"/>
    </row>
    <row r="139" hidden="1" ht="13.25" customHeight="1">
      <c r="A139" s="630" t="n">
        <v>11</v>
      </c>
      <c r="B139" s="588" t="inlineStr">
        <is>
          <t>水</t>
        </is>
      </c>
      <c r="C139" s="879" t="n">
        <v>805.42</v>
      </c>
      <c r="D139" s="879" t="n">
        <v>512.1799999999999</v>
      </c>
      <c r="E139" s="879" t="n">
        <v>2.17</v>
      </c>
      <c r="F139" s="881" t="n">
        <v>1039</v>
      </c>
      <c r="G139" s="588" t="n"/>
      <c r="H139" s="588" t="n">
        <v>1.68</v>
      </c>
      <c r="I139" s="588" t="n"/>
      <c r="J139" s="588" t="n">
        <v>607496</v>
      </c>
      <c r="K139" s="882">
        <f>J139-J138</f>
        <v/>
      </c>
      <c r="L139" s="588" t="n">
        <v>233949</v>
      </c>
      <c r="M139" s="882">
        <f>L139-L138</f>
        <v/>
      </c>
      <c r="N139" s="128" t="n"/>
      <c r="O139" s="9" t="n"/>
      <c r="P139" s="9" t="n"/>
      <c r="Q139" s="9" t="n"/>
      <c r="R139" s="9" t="n"/>
      <c r="S139" s="9" t="n"/>
      <c r="T139" s="9" t="n"/>
      <c r="U139" s="9" t="n"/>
      <c r="V139" s="9" t="n"/>
    </row>
    <row r="140" hidden="1" ht="13.25" customHeight="1">
      <c r="A140" s="630" t="n">
        <v>12</v>
      </c>
      <c r="B140" s="588" t="inlineStr">
        <is>
          <t>木</t>
        </is>
      </c>
      <c r="C140" s="879" t="n">
        <v>806.74</v>
      </c>
      <c r="D140" s="879" t="n">
        <v>513.04</v>
      </c>
      <c r="E140" s="879" t="n">
        <v>2.17</v>
      </c>
      <c r="F140" s="881" t="n">
        <v>1040</v>
      </c>
      <c r="G140" s="588" t="n"/>
      <c r="H140" s="588" t="n"/>
      <c r="I140" s="588" t="n">
        <v>1.68</v>
      </c>
      <c r="J140" s="588" t="n">
        <v>607721</v>
      </c>
      <c r="K140" s="882">
        <f>J140-J139</f>
        <v/>
      </c>
      <c r="L140" s="588" t="n">
        <v>234180</v>
      </c>
      <c r="M140" s="882">
        <f>L140-L139</f>
        <v/>
      </c>
      <c r="N140" s="128" t="n"/>
      <c r="O140" s="9" t="n"/>
      <c r="P140" s="9" t="n"/>
      <c r="Q140" s="9" t="n"/>
      <c r="R140" s="9" t="n"/>
      <c r="S140" s="9" t="n"/>
      <c r="T140" s="9" t="n"/>
      <c r="U140" s="9" t="n"/>
      <c r="V140" s="9" t="n"/>
    </row>
    <row r="141" hidden="1" ht="13.25" customHeight="1">
      <c r="A141" s="630" t="n">
        <v>13</v>
      </c>
      <c r="B141" s="588" t="inlineStr">
        <is>
          <t>金</t>
        </is>
      </c>
      <c r="C141" s="879" t="n">
        <v>808.13</v>
      </c>
      <c r="D141" s="879" t="n">
        <v>513.97</v>
      </c>
      <c r="E141" s="879" t="n">
        <v>2.17</v>
      </c>
      <c r="F141" s="881" t="n">
        <v>1040</v>
      </c>
      <c r="G141" s="588" t="n"/>
      <c r="H141" s="588" t="n"/>
      <c r="I141" s="588" t="n"/>
      <c r="J141" s="588" t="n">
        <v>607958</v>
      </c>
      <c r="K141" s="882">
        <f>J141-J140</f>
        <v/>
      </c>
      <c r="L141" s="588" t="n">
        <v>234428</v>
      </c>
      <c r="M141" s="882">
        <f>L141-L140</f>
        <v/>
      </c>
      <c r="N141" s="128" t="n"/>
      <c r="O141" s="9" t="n"/>
      <c r="P141" s="9" t="n"/>
      <c r="Q141" s="9" t="n"/>
      <c r="R141" s="9" t="n"/>
      <c r="S141" s="9" t="n"/>
      <c r="T141" s="9" t="n"/>
      <c r="U141" s="9" t="n"/>
      <c r="V141" s="9" t="n"/>
    </row>
    <row r="142" hidden="1" ht="13.25" customHeight="1">
      <c r="A142" s="630" t="n">
        <v>14</v>
      </c>
      <c r="B142" s="588" t="inlineStr">
        <is>
          <t>土</t>
        </is>
      </c>
      <c r="C142" s="879" t="n"/>
      <c r="D142" s="879" t="n"/>
      <c r="E142" s="879" t="n"/>
      <c r="F142" s="881" t="n"/>
      <c r="G142" s="588" t="n"/>
      <c r="H142" s="588" t="n"/>
      <c r="I142" s="588" t="n"/>
      <c r="J142" s="588" t="n"/>
      <c r="K142" s="588" t="n"/>
      <c r="L142" s="588" t="n"/>
      <c r="M142" s="882" t="n"/>
      <c r="N142" s="128" t="n"/>
      <c r="O142" s="9" t="n"/>
      <c r="P142" s="9" t="n"/>
      <c r="Q142" s="9" t="n"/>
      <c r="R142" s="9" t="n"/>
      <c r="S142" s="9" t="n"/>
      <c r="T142" s="9" t="n"/>
      <c r="U142" s="9" t="n"/>
      <c r="V142" s="9" t="n"/>
    </row>
    <row r="143" hidden="1" ht="13.25" customHeight="1">
      <c r="A143" s="630" t="n">
        <v>15</v>
      </c>
      <c r="B143" s="588" t="inlineStr">
        <is>
          <t>日</t>
        </is>
      </c>
      <c r="C143" s="879" t="n"/>
      <c r="D143" s="879" t="n"/>
      <c r="E143" s="879" t="n"/>
      <c r="F143" s="881" t="n"/>
      <c r="G143" s="588" t="n"/>
      <c r="H143" s="588" t="n"/>
      <c r="I143" s="588" t="n"/>
      <c r="J143" s="588" t="n"/>
      <c r="K143" s="588" t="n"/>
      <c r="L143" s="588" t="n"/>
      <c r="M143" s="588" t="n"/>
      <c r="N143" s="128" t="n"/>
      <c r="O143" s="9" t="n"/>
      <c r="P143" s="9" t="n"/>
      <c r="Q143" s="9" t="n"/>
      <c r="R143" s="9" t="n"/>
      <c r="S143" s="9" t="n"/>
      <c r="T143" s="9" t="n"/>
      <c r="U143" s="9" t="n"/>
      <c r="V143" s="9" t="n"/>
    </row>
    <row r="144" hidden="1" ht="13.25" customHeight="1">
      <c r="A144" s="630" t="n">
        <v>16</v>
      </c>
      <c r="B144" s="588" t="inlineStr">
        <is>
          <t>月</t>
        </is>
      </c>
      <c r="C144" s="879" t="n">
        <v>790.41</v>
      </c>
      <c r="D144" s="879" t="n">
        <v>501.99</v>
      </c>
      <c r="E144" s="879" t="n">
        <v>2.14</v>
      </c>
      <c r="F144" s="589" t="n">
        <v>1040</v>
      </c>
      <c r="G144" s="588" t="n">
        <v>12</v>
      </c>
      <c r="H144" s="588" t="n"/>
      <c r="I144" s="588" t="n"/>
      <c r="J144" s="588" t="n">
        <v>608643</v>
      </c>
      <c r="K144" s="882">
        <f>(J144-J141)/3</f>
        <v/>
      </c>
      <c r="L144" s="588" t="n">
        <v>235182</v>
      </c>
      <c r="M144" s="882">
        <f>(L144-L141)/3</f>
        <v/>
      </c>
      <c r="N144" s="128" t="n"/>
      <c r="O144" s="9" t="n"/>
      <c r="P144" s="9" t="n"/>
      <c r="Q144" s="9" t="n"/>
      <c r="R144" s="9" t="n"/>
      <c r="S144" s="9" t="n"/>
      <c r="T144" s="9" t="n"/>
      <c r="U144" s="9" t="n"/>
      <c r="V144" s="9" t="n"/>
    </row>
    <row r="145" hidden="1" ht="13.25" customHeight="1">
      <c r="A145" s="630" t="n">
        <v>17</v>
      </c>
      <c r="B145" s="588" t="inlineStr">
        <is>
          <t>火</t>
        </is>
      </c>
      <c r="C145" s="879" t="n">
        <v>813.52</v>
      </c>
      <c r="D145" s="879" t="n">
        <v>517.52</v>
      </c>
      <c r="E145" s="879" t="n">
        <v>2.17</v>
      </c>
      <c r="F145" s="589" t="n">
        <v>1040</v>
      </c>
      <c r="G145" s="588" t="n"/>
      <c r="H145" s="588" t="n"/>
      <c r="I145" s="588" t="n"/>
      <c r="J145" s="588" t="n">
        <v>608853</v>
      </c>
      <c r="K145" s="882" t="n">
        <v>210</v>
      </c>
      <c r="L145" s="588" t="n">
        <v>235285</v>
      </c>
      <c r="M145" s="882" t="n">
        <v>203</v>
      </c>
      <c r="N145" s="128" t="n"/>
      <c r="O145" s="9" t="n"/>
      <c r="P145" s="9" t="n"/>
      <c r="Q145" s="9" t="n"/>
      <c r="R145" s="9" t="n"/>
      <c r="S145" s="9" t="n"/>
      <c r="T145" s="9" t="n"/>
      <c r="U145" s="9" t="n"/>
      <c r="V145" s="9" t="n"/>
    </row>
    <row r="146" hidden="1" ht="13.25" customHeight="1">
      <c r="A146" s="630" t="n">
        <v>18</v>
      </c>
      <c r="B146" s="588" t="inlineStr">
        <is>
          <t>水</t>
        </is>
      </c>
      <c r="C146" s="879" t="n">
        <v>790.41</v>
      </c>
      <c r="D146" s="879" t="n">
        <v>501.99</v>
      </c>
      <c r="E146" s="879" t="n">
        <v>2.14</v>
      </c>
      <c r="F146" s="589" t="n">
        <v>1040</v>
      </c>
      <c r="G146" s="588" t="n"/>
      <c r="H146" s="588" t="n">
        <v>1.37</v>
      </c>
      <c r="I146" s="588" t="n"/>
      <c r="J146" s="588" t="n">
        <v>609063</v>
      </c>
      <c r="K146" s="882">
        <f>J146-J145</f>
        <v/>
      </c>
      <c r="L146" s="588" t="n">
        <v>235612</v>
      </c>
      <c r="M146" s="882">
        <f>L146-L145</f>
        <v/>
      </c>
      <c r="N146" s="128" t="n"/>
      <c r="O146" s="9" t="n"/>
      <c r="P146" s="9" t="n"/>
      <c r="Q146" s="9" t="n"/>
      <c r="R146" s="9" t="n"/>
      <c r="S146" s="9" t="n"/>
      <c r="T146" s="9" t="n"/>
      <c r="U146" s="9" t="n"/>
      <c r="V146" s="9" t="n"/>
    </row>
    <row r="147" hidden="1" ht="13.25" customHeight="1">
      <c r="A147" s="630" t="n">
        <v>19</v>
      </c>
      <c r="B147" s="588" t="inlineStr">
        <is>
          <t>木</t>
        </is>
      </c>
      <c r="C147" s="879" t="n">
        <v>790.41</v>
      </c>
      <c r="D147" s="879" t="n">
        <v>501.99</v>
      </c>
      <c r="E147" s="879" t="n">
        <v>2.14</v>
      </c>
      <c r="F147" s="881" t="n">
        <v>1040</v>
      </c>
      <c r="G147" s="588" t="n"/>
      <c r="H147" s="588" t="n"/>
      <c r="I147" s="588" t="n">
        <v>1.37</v>
      </c>
      <c r="J147" s="588" t="n">
        <v>609259</v>
      </c>
      <c r="K147" s="882">
        <f>J147-J146</f>
        <v/>
      </c>
      <c r="L147" s="588" t="n">
        <v>235803</v>
      </c>
      <c r="M147" s="882">
        <f>L147-L146</f>
        <v/>
      </c>
      <c r="N147" s="128" t="n"/>
      <c r="O147" s="9" t="n"/>
      <c r="P147" s="9" t="n"/>
      <c r="Q147" s="9" t="n"/>
      <c r="R147" s="9" t="n"/>
      <c r="S147" s="9" t="n"/>
      <c r="T147" s="9" t="n"/>
      <c r="U147" s="9" t="n"/>
      <c r="V147" s="9" t="n"/>
    </row>
    <row r="148" hidden="1" ht="13.25" customHeight="1">
      <c r="A148" s="630" t="n">
        <v>20</v>
      </c>
      <c r="B148" s="588" t="inlineStr">
        <is>
          <t>金</t>
        </is>
      </c>
      <c r="C148" s="879" t="n">
        <v>790.41</v>
      </c>
      <c r="D148" s="879" t="n">
        <v>501.99</v>
      </c>
      <c r="E148" s="879" t="n">
        <v>2.14</v>
      </c>
      <c r="F148" s="881" t="n">
        <v>1040</v>
      </c>
      <c r="G148" s="588" t="n"/>
      <c r="H148" s="588" t="n"/>
      <c r="I148" s="588" t="n"/>
      <c r="J148" s="588" t="n">
        <v>609399</v>
      </c>
      <c r="K148" s="882">
        <f>J148-J147</f>
        <v/>
      </c>
      <c r="L148" s="588" t="n">
        <v>235971</v>
      </c>
      <c r="M148" s="882">
        <f>L148-L147</f>
        <v/>
      </c>
      <c r="N148" s="128" t="n"/>
      <c r="O148" s="9" t="n"/>
      <c r="P148" s="9" t="n"/>
      <c r="Q148" s="9" t="n"/>
      <c r="R148" s="9" t="n"/>
      <c r="S148" s="9" t="n"/>
      <c r="T148" s="9" t="n"/>
      <c r="U148" s="9" t="n"/>
      <c r="V148" s="9" t="n"/>
    </row>
    <row r="149" hidden="1" ht="13.25" customHeight="1">
      <c r="A149" s="630" t="n">
        <v>21</v>
      </c>
      <c r="B149" s="588" t="inlineStr">
        <is>
          <t>土</t>
        </is>
      </c>
      <c r="C149" s="879" t="n"/>
      <c r="D149" s="879" t="n"/>
      <c r="E149" s="879" t="n"/>
      <c r="F149" s="881" t="n"/>
      <c r="G149" s="588" t="n"/>
      <c r="H149" s="588" t="n"/>
      <c r="I149" s="588" t="n"/>
      <c r="J149" s="588" t="n"/>
      <c r="K149" s="588" t="n"/>
      <c r="L149" s="588" t="n"/>
      <c r="M149" s="588" t="n"/>
      <c r="N149" s="128" t="n"/>
      <c r="O149" s="9" t="n"/>
      <c r="P149" s="9" t="n"/>
      <c r="Q149" s="9" t="n"/>
      <c r="R149" s="9" t="n"/>
      <c r="S149" s="9" t="n"/>
      <c r="T149" s="9" t="n"/>
      <c r="U149" s="9" t="n"/>
      <c r="V149" s="9" t="n"/>
    </row>
    <row r="150" hidden="1" ht="13.25" customHeight="1">
      <c r="A150" s="630" t="n">
        <v>22</v>
      </c>
      <c r="B150" s="588" t="inlineStr">
        <is>
          <t>日</t>
        </is>
      </c>
      <c r="C150" s="879" t="n"/>
      <c r="D150" s="879" t="n"/>
      <c r="E150" s="879" t="n"/>
      <c r="F150" s="589" t="n"/>
      <c r="G150" s="588" t="n"/>
      <c r="H150" s="588" t="n"/>
      <c r="I150" s="588" t="n"/>
      <c r="J150" s="588" t="n"/>
      <c r="K150" s="588" t="n"/>
      <c r="L150" s="588" t="n"/>
      <c r="M150" s="882" t="n"/>
      <c r="N150" s="128" t="n"/>
      <c r="O150" s="130" t="n"/>
      <c r="P150" s="130" t="n"/>
      <c r="Q150" s="130" t="n"/>
      <c r="R150" s="885" t="n"/>
      <c r="S150" s="130" t="n"/>
      <c r="T150" s="862" t="n"/>
      <c r="U150" s="9" t="n"/>
      <c r="V150" s="9" t="n"/>
    </row>
    <row r="151" hidden="1" ht="13.25" customHeight="1">
      <c r="A151" s="630" t="n">
        <v>23</v>
      </c>
      <c r="B151" s="588" t="inlineStr">
        <is>
          <t>月</t>
        </is>
      </c>
      <c r="C151" s="879" t="n">
        <v>790.41</v>
      </c>
      <c r="D151" s="879" t="n">
        <v>501.99</v>
      </c>
      <c r="E151" s="879" t="n">
        <v>2.14</v>
      </c>
      <c r="F151" s="881" t="n">
        <v>1040</v>
      </c>
      <c r="G151" s="588" t="n">
        <v>11</v>
      </c>
      <c r="H151" s="588" t="n"/>
      <c r="I151" s="588" t="n"/>
      <c r="J151" s="588" t="n">
        <v>609718</v>
      </c>
      <c r="K151" s="882">
        <f>(J151-J148)/3</f>
        <v/>
      </c>
      <c r="L151" s="588" t="n">
        <v>236258</v>
      </c>
      <c r="M151" s="882">
        <f>(L151-L148)/3</f>
        <v/>
      </c>
      <c r="N151" s="128" t="n"/>
      <c r="O151" s="130" t="n"/>
      <c r="P151" s="130" t="n"/>
      <c r="Q151" s="130" t="n"/>
      <c r="R151" s="130" t="n"/>
      <c r="S151" s="130" t="n"/>
      <c r="T151" s="72" t="n"/>
      <c r="U151" s="9" t="n"/>
      <c r="V151" s="9" t="n"/>
    </row>
    <row r="152" hidden="1" ht="13.25" customHeight="1">
      <c r="A152" s="630" t="n">
        <v>24</v>
      </c>
      <c r="B152" s="588" t="inlineStr">
        <is>
          <t>火</t>
        </is>
      </c>
      <c r="C152" s="879" t="n">
        <v>790.41</v>
      </c>
      <c r="D152" s="879" t="n">
        <v>501.99</v>
      </c>
      <c r="E152" s="879" t="n">
        <v>2.14</v>
      </c>
      <c r="F152" s="881" t="n">
        <v>1040</v>
      </c>
      <c r="G152" s="588" t="n"/>
      <c r="H152" s="588" t="n"/>
      <c r="I152" s="588" t="n"/>
      <c r="J152" s="588" t="n">
        <v>610011</v>
      </c>
      <c r="K152" s="588">
        <f>J152-J151</f>
        <v/>
      </c>
      <c r="L152" s="588" t="n">
        <v>236581</v>
      </c>
      <c r="M152" s="588">
        <f>L152-L151</f>
        <v/>
      </c>
      <c r="N152" s="128" t="n"/>
      <c r="O152" s="130" t="n"/>
      <c r="P152" s="130" t="n"/>
      <c r="Q152" s="130" t="n"/>
      <c r="R152" s="130" t="n"/>
      <c r="S152" s="130" t="n"/>
      <c r="T152" s="72" t="n"/>
      <c r="U152" s="9" t="n"/>
      <c r="V152" s="9" t="n"/>
    </row>
    <row r="153" hidden="1" ht="13.25" customHeight="1">
      <c r="A153" s="630" t="n">
        <v>25</v>
      </c>
      <c r="B153" s="588" t="inlineStr">
        <is>
          <t>水</t>
        </is>
      </c>
      <c r="C153" s="879" t="n">
        <v>790.41</v>
      </c>
      <c r="D153" s="879" t="n">
        <v>501.99</v>
      </c>
      <c r="E153" s="879" t="n">
        <v>2.14</v>
      </c>
      <c r="F153" s="881" t="n">
        <v>1041</v>
      </c>
      <c r="G153" s="588" t="n"/>
      <c r="H153" s="588" t="n">
        <v>1.67</v>
      </c>
      <c r="I153" s="588" t="n"/>
      <c r="J153" s="588" t="n">
        <v>610232</v>
      </c>
      <c r="K153" s="588">
        <f>J153-J152</f>
        <v/>
      </c>
      <c r="L153" s="588" t="n">
        <v>236782</v>
      </c>
      <c r="M153" s="588">
        <f>L153-L152</f>
        <v/>
      </c>
      <c r="N153" s="128" t="n"/>
      <c r="O153" s="130" t="n"/>
      <c r="P153" s="130" t="n"/>
      <c r="Q153" s="130" t="n"/>
      <c r="R153" s="130" t="n"/>
      <c r="S153" s="886" t="n"/>
      <c r="T153" s="72" t="n"/>
      <c r="U153" s="9" t="n"/>
      <c r="V153" s="9" t="n"/>
    </row>
    <row r="154" hidden="1" ht="13.25" customHeight="1">
      <c r="A154" s="630" t="n">
        <v>26</v>
      </c>
      <c r="B154" s="588" t="inlineStr">
        <is>
          <t>木</t>
        </is>
      </c>
      <c r="C154" s="879" t="n">
        <v>790.41</v>
      </c>
      <c r="D154" s="879" t="n">
        <v>501.99</v>
      </c>
      <c r="E154" s="879" t="n">
        <v>2.14</v>
      </c>
      <c r="F154" s="881" t="n">
        <v>1041</v>
      </c>
      <c r="G154" s="588" t="n"/>
      <c r="H154" s="588" t="n"/>
      <c r="I154" s="588" t="n">
        <v>1.67</v>
      </c>
      <c r="J154" s="588" t="n">
        <v>610445</v>
      </c>
      <c r="K154" s="588">
        <f>J154-J153</f>
        <v/>
      </c>
      <c r="L154" s="588" t="n">
        <v>236993</v>
      </c>
      <c r="M154" s="588">
        <f>L154-L153</f>
        <v/>
      </c>
      <c r="N154" s="128" t="n"/>
      <c r="O154" s="130" t="n"/>
      <c r="P154" s="130" t="n"/>
      <c r="Q154" s="130" t="n"/>
      <c r="R154" s="130" t="n"/>
      <c r="S154" s="130" t="n"/>
      <c r="T154" s="72" t="n"/>
      <c r="U154" s="9" t="n"/>
      <c r="V154" s="9" t="n"/>
    </row>
    <row r="155" hidden="1" ht="13.25" customHeight="1">
      <c r="A155" s="630" t="n">
        <v>27</v>
      </c>
      <c r="B155" s="588" t="inlineStr">
        <is>
          <t>金</t>
        </is>
      </c>
      <c r="C155" s="879" t="n">
        <v>790.41</v>
      </c>
      <c r="D155" s="879" t="n">
        <v>501.99</v>
      </c>
      <c r="E155" s="879" t="n">
        <v>2.14</v>
      </c>
      <c r="F155" s="881" t="n">
        <v>1041</v>
      </c>
      <c r="G155" s="588" t="n"/>
      <c r="H155" s="588" t="n"/>
      <c r="I155" s="588" t="n"/>
      <c r="J155" s="588" t="n">
        <v>610655</v>
      </c>
      <c r="K155" s="588">
        <f>J155-J154</f>
        <v/>
      </c>
      <c r="L155" s="588" t="n">
        <v>237200</v>
      </c>
      <c r="M155" s="588">
        <f>L155-L154</f>
        <v/>
      </c>
      <c r="N155" s="128" t="n"/>
      <c r="O155" s="9" t="n"/>
      <c r="P155" s="9" t="n"/>
      <c r="Q155" s="9" t="n"/>
      <c r="R155" s="9" t="n"/>
      <c r="S155" s="9" t="n"/>
      <c r="T155" s="9" t="n"/>
      <c r="U155" s="9" t="n"/>
      <c r="V155" s="9" t="n"/>
    </row>
    <row r="156" hidden="1" ht="13.25" customHeight="1">
      <c r="A156" s="630" t="n">
        <v>28</v>
      </c>
      <c r="B156" s="588" t="inlineStr">
        <is>
          <t>土</t>
        </is>
      </c>
      <c r="C156" s="879" t="n"/>
      <c r="D156" s="879" t="n"/>
      <c r="E156" s="879" t="n"/>
      <c r="F156" s="589" t="n"/>
      <c r="G156" s="588" t="n"/>
      <c r="H156" s="588" t="n"/>
      <c r="I156" s="588" t="n"/>
      <c r="J156" s="588" t="n"/>
      <c r="K156" s="588" t="n"/>
      <c r="L156" s="588" t="n"/>
      <c r="M156" s="588" t="n"/>
      <c r="N156" s="128" t="n"/>
      <c r="O156" s="9" t="n"/>
      <c r="P156" s="9" t="n"/>
      <c r="Q156" s="9" t="n"/>
      <c r="R156" s="9" t="n"/>
      <c r="S156" s="9" t="n"/>
      <c r="T156" s="9" t="n"/>
      <c r="U156" s="9" t="n"/>
      <c r="V156" s="9" t="n"/>
    </row>
    <row r="157" hidden="1" ht="13.25" customHeight="1">
      <c r="A157" s="630" t="n">
        <v>29</v>
      </c>
      <c r="B157" s="588" t="inlineStr">
        <is>
          <t>日</t>
        </is>
      </c>
      <c r="C157" s="879" t="n"/>
      <c r="D157" s="879" t="n"/>
      <c r="E157" s="879" t="n"/>
      <c r="F157" s="589" t="n"/>
      <c r="G157" s="588" t="n"/>
      <c r="H157" s="588" t="n"/>
      <c r="I157" s="588" t="n"/>
      <c r="J157" s="588" t="n"/>
      <c r="K157" s="588" t="n"/>
      <c r="L157" s="588" t="n"/>
      <c r="M157" s="588" t="n"/>
      <c r="N157" s="128" t="n"/>
      <c r="O157" s="9" t="n"/>
      <c r="P157" s="9" t="n"/>
      <c r="Q157" s="9" t="n"/>
      <c r="R157" s="9" t="n"/>
      <c r="S157" s="9" t="n"/>
      <c r="T157" s="9" t="n"/>
      <c r="U157" s="9" t="n"/>
      <c r="V157" s="9" t="n"/>
    </row>
    <row r="158" hidden="1" ht="13.25" customHeight="1">
      <c r="A158" s="630" t="n">
        <v>30</v>
      </c>
      <c r="B158" s="588" t="inlineStr">
        <is>
          <t>月</t>
        </is>
      </c>
      <c r="C158" s="879" t="n">
        <v>790.41</v>
      </c>
      <c r="D158" s="879" t="n">
        <v>501.99</v>
      </c>
      <c r="E158" s="879" t="n">
        <v>2.21</v>
      </c>
      <c r="F158" s="589" t="n">
        <v>1041</v>
      </c>
      <c r="G158" s="588" t="n">
        <v>13</v>
      </c>
      <c r="H158" s="588" t="n"/>
      <c r="I158" s="588" t="n"/>
      <c r="J158" s="588" t="n">
        <v>611270</v>
      </c>
      <c r="K158" s="588">
        <f>(J158-J155)/3</f>
        <v/>
      </c>
      <c r="L158" s="588" t="n">
        <v>237882</v>
      </c>
      <c r="M158" s="882">
        <f>(L158-L155)/3</f>
        <v/>
      </c>
      <c r="N158" s="128" t="n"/>
      <c r="O158" s="9" t="n"/>
      <c r="P158" s="9" t="n"/>
      <c r="Q158" s="9" t="n"/>
      <c r="R158" s="9" t="n"/>
      <c r="S158" s="9" t="n"/>
      <c r="T158" s="9" t="n"/>
      <c r="U158" s="9" t="n"/>
      <c r="V158" s="9" t="n"/>
    </row>
    <row r="159" hidden="1" ht="13.25" customHeight="1">
      <c r="A159" s="630" t="n">
        <v>31</v>
      </c>
      <c r="B159" s="588" t="inlineStr">
        <is>
          <t>火</t>
        </is>
      </c>
      <c r="C159" s="879" t="n">
        <v>834.1900000000001</v>
      </c>
      <c r="D159" s="879" t="n">
        <v>531.46</v>
      </c>
      <c r="E159" s="879" t="n">
        <v>2.14</v>
      </c>
      <c r="F159" s="589" t="n">
        <v>1041</v>
      </c>
      <c r="G159" s="588" t="n"/>
      <c r="H159" s="588" t="n"/>
      <c r="I159" s="588" t="n"/>
      <c r="J159" s="588" t="n">
        <v>611476</v>
      </c>
      <c r="K159" s="588">
        <f>J159-J158</f>
        <v/>
      </c>
      <c r="L159" s="588" t="n">
        <v>238050</v>
      </c>
      <c r="M159" s="588">
        <f>L159-L158</f>
        <v/>
      </c>
      <c r="N159" s="128" t="n"/>
      <c r="O159" s="9" t="n"/>
      <c r="P159" s="9" t="n"/>
      <c r="Q159" s="9" t="n"/>
      <c r="R159" s="9" t="n"/>
      <c r="S159" s="9" t="n"/>
      <c r="T159" s="9" t="n"/>
      <c r="U159" s="9" t="n"/>
      <c r="V159" s="9" t="n"/>
    </row>
    <row r="160" hidden="1" ht="13.25" customHeight="1">
      <c r="A160" s="589" t="inlineStr">
        <is>
          <t>最大</t>
        </is>
      </c>
      <c r="B160" s="580" t="n"/>
      <c r="C160" s="176" t="inlineStr">
        <is>
          <t>-</t>
        </is>
      </c>
      <c r="D160" s="176" t="inlineStr">
        <is>
          <t>-</t>
        </is>
      </c>
      <c r="E160" s="176" t="inlineStr">
        <is>
          <t>-</t>
        </is>
      </c>
      <c r="F160" s="176" t="inlineStr">
        <is>
          <t>-</t>
        </is>
      </c>
      <c r="G160" s="883">
        <f>MAX(G130,G138,G144,G151,G158)</f>
        <v/>
      </c>
      <c r="H160" s="168">
        <f>MAX(H132,H139,H146,H153)</f>
        <v/>
      </c>
      <c r="I160" s="168">
        <f>MAX(I133,I140,I147,I154,I139,I146,I153)</f>
        <v/>
      </c>
      <c r="J160" s="176" t="inlineStr">
        <is>
          <t>-</t>
        </is>
      </c>
      <c r="K160" s="883">
        <f>MAX(K130:K134,K138:K141,K144:K148,K151:K155,K158:K159)</f>
        <v/>
      </c>
      <c r="L160" s="176" t="inlineStr">
        <is>
          <t>-</t>
        </is>
      </c>
      <c r="M160" s="883">
        <f>MAX(M130:M134,M138:M141,M144:M148,M151:M155,M158:M159)</f>
        <v/>
      </c>
      <c r="N160" s="128" t="n"/>
      <c r="O160" s="9" t="n"/>
      <c r="P160" s="9" t="n"/>
      <c r="Q160" s="9" t="n"/>
      <c r="R160" s="9" t="n"/>
      <c r="S160" s="9" t="n"/>
      <c r="T160" s="9" t="n"/>
      <c r="U160" s="9" t="n"/>
      <c r="V160" s="9" t="n"/>
    </row>
    <row r="161" hidden="1" ht="13.25" customHeight="1">
      <c r="A161" s="589" t="inlineStr">
        <is>
          <t>平均</t>
        </is>
      </c>
      <c r="B161" s="580" t="n"/>
      <c r="C161" s="176" t="inlineStr">
        <is>
          <t>-</t>
        </is>
      </c>
      <c r="D161" s="176" t="inlineStr">
        <is>
          <t>-</t>
        </is>
      </c>
      <c r="E161" s="176" t="inlineStr">
        <is>
          <t>-</t>
        </is>
      </c>
      <c r="F161" s="176" t="inlineStr">
        <is>
          <t>-</t>
        </is>
      </c>
      <c r="G161" s="883">
        <f>AVERAGE(G130,G138,G144,G151,G158)</f>
        <v/>
      </c>
      <c r="H161" s="168">
        <f>AVERAGE(H132,H139,H146,H153)</f>
        <v/>
      </c>
      <c r="I161" s="168">
        <f>AVERAGE(I133,I140,I147,I154,I160,I160,I139,I146,I153)</f>
        <v/>
      </c>
      <c r="J161" s="176" t="inlineStr">
        <is>
          <t>-</t>
        </is>
      </c>
      <c r="K161" s="883">
        <f>AVERAGE(K130:K134,K138:K141,K144:K148,K151:K155,K158:K159)</f>
        <v/>
      </c>
      <c r="L161" s="176" t="inlineStr">
        <is>
          <t>-</t>
        </is>
      </c>
      <c r="M161" s="883">
        <f>AVERAGE(M130:M134,M138:M141,M144:M148,M151:M155,M158:M159)</f>
        <v/>
      </c>
      <c r="N161" s="128" t="n"/>
      <c r="O161" s="9" t="n"/>
      <c r="P161" s="9" t="n"/>
      <c r="Q161" s="9" t="n"/>
      <c r="R161" s="9" t="n"/>
      <c r="S161" s="9" t="n"/>
      <c r="T161" s="9" t="n"/>
      <c r="U161" s="9" t="n"/>
      <c r="V161" s="9" t="n"/>
    </row>
    <row r="162" hidden="1" ht="13.25" customHeight="1">
      <c r="A162" s="589" t="inlineStr">
        <is>
          <t>最小</t>
        </is>
      </c>
      <c r="B162" s="580" t="n"/>
      <c r="C162" s="176" t="inlineStr">
        <is>
          <t>-</t>
        </is>
      </c>
      <c r="D162" s="176" t="inlineStr">
        <is>
          <t>-</t>
        </is>
      </c>
      <c r="E162" s="176" t="inlineStr">
        <is>
          <t>-</t>
        </is>
      </c>
      <c r="F162" s="176" t="inlineStr">
        <is>
          <t>-</t>
        </is>
      </c>
      <c r="G162" s="883">
        <f>MIN(G130,G138,G144,G151,G158)</f>
        <v/>
      </c>
      <c r="H162" s="168">
        <f>MIN(H132,H139,H146,H153)</f>
        <v/>
      </c>
      <c r="I162" s="168">
        <f>MIN(I133,I140,I147,I154,I139,I146,I153)</f>
        <v/>
      </c>
      <c r="J162" s="176" t="inlineStr">
        <is>
          <t>-</t>
        </is>
      </c>
      <c r="K162" s="883">
        <f>MIN(K130:K134,K138:K141,K144:K148,K151:K155,K158:K159)</f>
        <v/>
      </c>
      <c r="L162" s="176" t="inlineStr">
        <is>
          <t>-</t>
        </is>
      </c>
      <c r="M162" s="883">
        <f>MIN(M130:M134,M138:M141,M144:M148,M151:M155,M158:M159)</f>
        <v/>
      </c>
      <c r="N162" s="128" t="n"/>
      <c r="O162" s="9" t="n"/>
      <c r="P162" s="9" t="n"/>
      <c r="Q162" s="9" t="n"/>
      <c r="R162" s="9" t="n"/>
      <c r="S162" s="9" t="n"/>
      <c r="T162" s="9" t="n"/>
      <c r="U162" s="9" t="n"/>
      <c r="V162" s="9" t="n"/>
    </row>
    <row r="163" hidden="1" ht="13.25" customHeight="1">
      <c r="A163" s="589" t="inlineStr">
        <is>
          <t>合計</t>
        </is>
      </c>
      <c r="B163" s="580" t="n"/>
      <c r="C163" s="176" t="n"/>
      <c r="D163" s="176" t="inlineStr">
        <is>
          <t>-</t>
        </is>
      </c>
      <c r="E163" s="176" t="inlineStr">
        <is>
          <t>-</t>
        </is>
      </c>
      <c r="F163" s="176" t="inlineStr">
        <is>
          <t>-</t>
        </is>
      </c>
      <c r="G163" s="883">
        <f>SUM(G130,G138,G144,G151,G158)</f>
        <v/>
      </c>
      <c r="H163" s="168">
        <f>SUM(H132,H139,H146,H153)</f>
        <v/>
      </c>
      <c r="I163" s="168">
        <f>SUM(I133,I140,I147,I154)</f>
        <v/>
      </c>
      <c r="J163" s="176" t="inlineStr">
        <is>
          <t>-</t>
        </is>
      </c>
      <c r="K163" s="883">
        <f>SUM(K130:K134,K138:K141,K144:K148,K151:K155,K158:K159)</f>
        <v/>
      </c>
      <c r="L163" s="176" t="inlineStr">
        <is>
          <t>-</t>
        </is>
      </c>
      <c r="M163" s="883">
        <f>SUM(M130:M134,M138:M141,M144:M148,M151:M155,M158:M159)</f>
        <v/>
      </c>
      <c r="N163" s="128" t="n"/>
      <c r="O163" s="9" t="n"/>
      <c r="P163" s="9" t="n"/>
      <c r="Q163" s="9" t="n"/>
      <c r="R163" s="9" t="n"/>
      <c r="S163" s="9" t="n"/>
      <c r="T163" s="9" t="n"/>
      <c r="U163" s="9" t="n"/>
      <c r="V163" s="9" t="n"/>
    </row>
    <row r="164" hidden="1" ht="30" customHeight="1">
      <c r="A164" s="127" t="inlineStr">
        <is>
          <t xml:space="preserve">　吉和水質管理センター運転管理月報</t>
        </is>
      </c>
      <c r="B164" s="128" t="n"/>
      <c r="C164" s="128" t="n"/>
      <c r="D164" s="128" t="n"/>
      <c r="E164" s="128" t="n"/>
      <c r="F164" s="128" t="n"/>
      <c r="G164" s="128" t="n"/>
      <c r="H164" s="128" t="n"/>
      <c r="I164" s="128" t="n"/>
      <c r="J164" s="676" t="inlineStr">
        <is>
          <t xml:space="preserve">　　　　　　　　平成18年1１月分</t>
        </is>
      </c>
      <c r="K164" s="598" t="n"/>
      <c r="L164" s="598" t="n"/>
      <c r="M164" s="598" t="n"/>
      <c r="N164" s="128" t="n"/>
      <c r="O164" s="9" t="n"/>
      <c r="P164" s="9" t="n"/>
      <c r="Q164" s="9" t="n"/>
      <c r="R164" s="9" t="n"/>
      <c r="S164" s="9" t="n"/>
      <c r="T164" s="9" t="n"/>
      <c r="U164" s="9" t="n"/>
      <c r="V164" s="9" t="n"/>
    </row>
    <row r="165" hidden="1" ht="13.5" customHeight="1">
      <c r="A165" s="678" t="inlineStr">
        <is>
          <t>日付</t>
        </is>
      </c>
      <c r="B165" s="678" t="inlineStr">
        <is>
          <t>曜日</t>
        </is>
      </c>
      <c r="C165" s="680" t="inlineStr">
        <is>
          <t>全日電力量読み値</t>
        </is>
      </c>
      <c r="D165" s="680" t="inlineStr">
        <is>
          <t>力測電力量読み値</t>
        </is>
      </c>
      <c r="E165" s="680" t="inlineStr">
        <is>
          <t>無効電力量読み値</t>
        </is>
      </c>
      <c r="F165" s="680" t="inlineStr">
        <is>
          <t>上水使用量読み値</t>
        </is>
      </c>
      <c r="G165" s="589" t="inlineStr">
        <is>
          <t>固形塩素</t>
        </is>
      </c>
      <c r="H165" s="589" t="inlineStr">
        <is>
          <t>脱水ケーキ</t>
        </is>
      </c>
      <c r="I165" s="580" t="n"/>
      <c r="J165" s="683" t="inlineStr">
        <is>
          <t>No.1</t>
        </is>
      </c>
      <c r="K165" s="587" t="n"/>
      <c r="L165" s="683" t="inlineStr">
        <is>
          <t>No.2</t>
        </is>
      </c>
      <c r="M165" s="587" t="n"/>
      <c r="N165" s="128" t="n"/>
      <c r="O165" s="9" t="n"/>
      <c r="P165" s="9" t="n"/>
      <c r="Q165" s="9" t="n"/>
      <c r="R165" s="9" t="n"/>
      <c r="S165" s="9" t="n"/>
      <c r="T165" s="9" t="n"/>
      <c r="U165" s="9" t="n"/>
      <c r="V165" s="9" t="n"/>
    </row>
    <row r="166" hidden="1" ht="13.5" customHeight="1">
      <c r="A166" s="679" t="n"/>
      <c r="B166" s="679" t="n"/>
      <c r="C166" s="679" t="n"/>
      <c r="D166" s="679" t="n"/>
      <c r="E166" s="679" t="n"/>
      <c r="F166" s="679" t="n"/>
      <c r="G166" s="589" t="inlineStr">
        <is>
          <t>使用量</t>
        </is>
      </c>
      <c r="H166" s="589" t="inlineStr">
        <is>
          <t>発生量</t>
        </is>
      </c>
      <c r="I166" s="589" t="inlineStr">
        <is>
          <t>搬出量</t>
        </is>
      </c>
      <c r="J166" s="677" t="inlineStr">
        <is>
          <t>返送汚泥</t>
        </is>
      </c>
      <c r="K166" s="641" t="n"/>
      <c r="L166" s="677" t="inlineStr">
        <is>
          <t>返送汚泥</t>
        </is>
      </c>
      <c r="M166" s="641" t="n"/>
      <c r="N166" s="128" t="n"/>
      <c r="O166" s="9" t="n"/>
      <c r="P166" s="9" t="n"/>
      <c r="Q166" s="9" t="n"/>
      <c r="R166" s="9" t="n"/>
      <c r="S166" s="9" t="n"/>
      <c r="T166" s="9" t="n"/>
      <c r="U166" s="9" t="n"/>
      <c r="V166" s="9" t="n"/>
    </row>
    <row r="167" hidden="1" ht="13.5" customHeight="1">
      <c r="A167" s="679" t="n"/>
      <c r="B167" s="679" t="n"/>
      <c r="C167" s="626" t="n"/>
      <c r="D167" s="626" t="n"/>
      <c r="E167" s="626" t="n"/>
      <c r="F167" s="626" t="n"/>
      <c r="G167" s="626" t="n"/>
      <c r="H167" s="626" t="n"/>
      <c r="I167" s="626" t="n"/>
      <c r="J167" s="627" t="inlineStr">
        <is>
          <t>流　　量</t>
        </is>
      </c>
      <c r="K167" s="591" t="n"/>
      <c r="L167" s="627" t="inlineStr">
        <is>
          <t>流　　量</t>
        </is>
      </c>
      <c r="M167" s="591" t="n"/>
      <c r="N167" s="128" t="n"/>
      <c r="O167" s="9" t="n"/>
      <c r="P167" s="9" t="n"/>
      <c r="Q167" s="9" t="n"/>
      <c r="R167" s="9" t="n"/>
      <c r="S167" s="9" t="n"/>
      <c r="T167" s="9" t="n"/>
      <c r="U167" s="9" t="n"/>
      <c r="V167" s="9" t="n"/>
    </row>
    <row r="168" hidden="1" ht="13.5" customHeight="1">
      <c r="A168" s="626" t="n"/>
      <c r="B168" s="626" t="n"/>
      <c r="C168" s="588" t="inlineStr">
        <is>
          <t>kwh</t>
        </is>
      </c>
      <c r="D168" s="588" t="inlineStr">
        <is>
          <t>kwh</t>
        </is>
      </c>
      <c r="E168" s="588" t="inlineStr">
        <is>
          <t>kvarh</t>
        </is>
      </c>
      <c r="F168" s="588" t="inlineStr">
        <is>
          <t>㎥</t>
        </is>
      </c>
      <c r="G168" s="588" t="inlineStr">
        <is>
          <t>kg</t>
        </is>
      </c>
      <c r="H168" s="588" t="inlineStr">
        <is>
          <t>ｔ</t>
        </is>
      </c>
      <c r="I168" s="588" t="inlineStr">
        <is>
          <t>ｔ</t>
        </is>
      </c>
      <c r="J168" s="588" t="inlineStr">
        <is>
          <t>㎥</t>
        </is>
      </c>
      <c r="K168" s="580" t="n"/>
      <c r="L168" s="588" t="inlineStr">
        <is>
          <t>㎥</t>
        </is>
      </c>
      <c r="M168" s="580" t="n"/>
      <c r="N168" s="128" t="n"/>
      <c r="O168" s="9" t="n"/>
      <c r="P168" s="9" t="n"/>
      <c r="Q168" s="9" t="n"/>
      <c r="R168" s="9" t="n"/>
      <c r="S168" s="9" t="n"/>
      <c r="T168" s="9" t="n"/>
      <c r="U168" s="9" t="n"/>
      <c r="V168" s="9" t="n"/>
    </row>
    <row r="169" hidden="1" ht="13.25" customHeight="1">
      <c r="A169" s="630" t="n">
        <v>1</v>
      </c>
      <c r="B169" s="588" t="inlineStr">
        <is>
          <t>水</t>
        </is>
      </c>
      <c r="C169" s="878" t="n">
        <v>834.8200000000001</v>
      </c>
      <c r="D169" s="878" t="n">
        <v>531.96</v>
      </c>
      <c r="E169" s="878" t="n">
        <v>2.21</v>
      </c>
      <c r="F169" s="887" t="n">
        <v>1042</v>
      </c>
      <c r="G169" s="588" t="n"/>
      <c r="H169" s="588" t="n">
        <v>1.42</v>
      </c>
      <c r="I169" s="588" t="n"/>
      <c r="J169" s="588" t="n">
        <v>611656</v>
      </c>
      <c r="K169" s="883">
        <f>J169-J159</f>
        <v/>
      </c>
      <c r="L169" s="588" t="n">
        <v>238254</v>
      </c>
      <c r="M169" s="883">
        <f>L169-L159</f>
        <v/>
      </c>
      <c r="N169" s="128" t="n"/>
      <c r="O169" s="9" t="n"/>
      <c r="P169" s="9" t="n"/>
      <c r="Q169" s="9" t="n"/>
      <c r="R169" s="9" t="n"/>
      <c r="S169" s="9" t="n"/>
      <c r="T169" s="9" t="n"/>
      <c r="U169" s="9" t="n"/>
      <c r="V169" s="9" t="n"/>
    </row>
    <row r="170" hidden="1" ht="13.25" customHeight="1">
      <c r="A170" s="630" t="n">
        <v>2</v>
      </c>
      <c r="B170" s="588" t="inlineStr">
        <is>
          <t>木</t>
        </is>
      </c>
      <c r="C170" s="878" t="n">
        <v>834.8200000000001</v>
      </c>
      <c r="D170" s="878" t="n">
        <v>531.96</v>
      </c>
      <c r="E170" s="878" t="n">
        <v>2.21</v>
      </c>
      <c r="F170" s="887" t="n">
        <v>1042</v>
      </c>
      <c r="G170" s="588" t="n"/>
      <c r="H170" s="588" t="n"/>
      <c r="I170" s="588" t="n">
        <v>1.42</v>
      </c>
      <c r="J170" s="588" t="n">
        <v>611852</v>
      </c>
      <c r="K170" s="883">
        <f>J170-J169</f>
        <v/>
      </c>
      <c r="L170" s="588" t="n">
        <v>238436</v>
      </c>
      <c r="M170" s="883">
        <f>L170-L169</f>
        <v/>
      </c>
      <c r="N170" s="128" t="n"/>
      <c r="O170" s="9" t="n"/>
      <c r="P170" s="9" t="n"/>
      <c r="Q170" s="9" t="n"/>
      <c r="R170" s="9" t="n"/>
      <c r="S170" s="9" t="n"/>
      <c r="T170" s="9" t="n"/>
      <c r="U170" s="9" t="n"/>
      <c r="V170" s="9" t="n"/>
    </row>
    <row r="171" hidden="1" ht="13.25" customHeight="1">
      <c r="A171" s="630" t="n">
        <v>3</v>
      </c>
      <c r="B171" s="588" t="inlineStr">
        <is>
          <t>金</t>
        </is>
      </c>
      <c r="C171" s="878" t="n"/>
      <c r="D171" s="878" t="n"/>
      <c r="E171" s="879" t="n"/>
      <c r="F171" s="887" t="n"/>
      <c r="G171" s="128" t="n"/>
      <c r="H171" s="588" t="n"/>
      <c r="I171" s="588" t="n"/>
      <c r="J171" s="588" t="n"/>
      <c r="K171" s="883" t="n"/>
      <c r="L171" s="588" t="n"/>
      <c r="M171" s="883" t="n"/>
      <c r="N171" s="128" t="n"/>
      <c r="O171" s="9" t="n"/>
      <c r="P171" s="9" t="n"/>
      <c r="Q171" s="9" t="n"/>
      <c r="R171" s="9" t="n"/>
      <c r="S171" s="9" t="n"/>
      <c r="T171" s="9" t="n"/>
      <c r="U171" s="9" t="n"/>
      <c r="V171" s="9" t="n"/>
    </row>
    <row r="172" hidden="1" ht="13.25" customHeight="1">
      <c r="A172" s="630" t="n">
        <v>4</v>
      </c>
      <c r="B172" s="588" t="inlineStr">
        <is>
          <t>土</t>
        </is>
      </c>
      <c r="C172" s="878" t="n"/>
      <c r="D172" s="879" t="n"/>
      <c r="E172" s="879" t="n"/>
      <c r="F172" s="887" t="n"/>
      <c r="G172" s="588" t="n"/>
      <c r="H172" s="880" t="n"/>
      <c r="I172" s="588" t="n"/>
      <c r="J172" s="588" t="n"/>
      <c r="K172" s="883" t="n"/>
      <c r="L172" s="588" t="n"/>
      <c r="M172" s="883" t="n"/>
      <c r="N172" s="128" t="n"/>
      <c r="O172" s="9" t="n"/>
      <c r="P172" s="9" t="n"/>
      <c r="Q172" s="9" t="n"/>
      <c r="R172" s="9" t="n"/>
      <c r="S172" s="9" t="n"/>
      <c r="T172" s="9" t="n"/>
      <c r="U172" s="9" t="n"/>
      <c r="V172" s="9" t="n"/>
    </row>
    <row r="173" hidden="1" ht="13.25" customHeight="1">
      <c r="A173" s="630" t="n">
        <v>5</v>
      </c>
      <c r="B173" s="588" t="inlineStr">
        <is>
          <t>日</t>
        </is>
      </c>
      <c r="C173" s="878" t="n"/>
      <c r="D173" s="879" t="n"/>
      <c r="E173" s="879" t="n"/>
      <c r="F173" s="887" t="n"/>
      <c r="G173" s="588" t="n"/>
      <c r="H173" s="588" t="n"/>
      <c r="I173" s="880" t="n"/>
      <c r="J173" s="588" t="n"/>
      <c r="K173" s="883" t="n"/>
      <c r="L173" s="588" t="n"/>
      <c r="M173" s="883" t="n"/>
      <c r="N173" s="128" t="n"/>
      <c r="O173" s="9" t="n"/>
      <c r="P173" s="9" t="n"/>
      <c r="Q173" s="9" t="n"/>
      <c r="R173" s="9" t="n"/>
      <c r="S173" s="9" t="n"/>
      <c r="T173" s="9" t="n"/>
      <c r="U173" s="9" t="n"/>
      <c r="V173" s="9" t="n"/>
    </row>
    <row r="174" hidden="1" ht="13.25" customHeight="1">
      <c r="A174" s="630" t="n">
        <v>6</v>
      </c>
      <c r="B174" s="588" t="inlineStr">
        <is>
          <t>月</t>
        </is>
      </c>
      <c r="C174" s="878" t="n">
        <v>834.8200000000001</v>
      </c>
      <c r="D174" s="879" t="n">
        <v>531.96</v>
      </c>
      <c r="E174" s="879" t="n">
        <v>2.21</v>
      </c>
      <c r="F174" s="887" t="n">
        <v>1042</v>
      </c>
      <c r="G174" s="588" t="n">
        <v>13</v>
      </c>
      <c r="H174" s="588" t="n"/>
      <c r="I174" s="588" t="n"/>
      <c r="J174" s="588" t="n">
        <v>612634</v>
      </c>
      <c r="K174" s="883">
        <f>(J174-J170)/4</f>
        <v/>
      </c>
      <c r="L174" s="588" t="n">
        <v>238600</v>
      </c>
      <c r="M174" s="883">
        <f>(L174-L170)/4</f>
        <v/>
      </c>
      <c r="N174" s="128" t="n"/>
      <c r="O174" s="9" t="n"/>
      <c r="P174" s="9" t="n"/>
      <c r="Q174" s="9" t="n"/>
      <c r="R174" s="9" t="n"/>
      <c r="S174" s="9" t="n"/>
      <c r="T174" s="9" t="n"/>
      <c r="U174" s="9" t="n"/>
      <c r="V174" s="9" t="n"/>
    </row>
    <row r="175" hidden="1" ht="13.25" customHeight="1">
      <c r="A175" s="630" t="n">
        <v>7</v>
      </c>
      <c r="B175" s="588" t="inlineStr">
        <is>
          <t>火</t>
        </is>
      </c>
      <c r="C175" s="878" t="n">
        <v>834.8200000000001</v>
      </c>
      <c r="D175" s="879" t="n">
        <v>531.96</v>
      </c>
      <c r="E175" s="879" t="n">
        <v>2.22</v>
      </c>
      <c r="F175" s="887" t="n">
        <v>1042</v>
      </c>
      <c r="G175" s="588" t="n"/>
      <c r="H175" s="588" t="n"/>
      <c r="I175" s="588" t="n"/>
      <c r="J175" s="588" t="n">
        <v>612829</v>
      </c>
      <c r="K175" s="883">
        <f>J175-J174</f>
        <v/>
      </c>
      <c r="L175" s="588" t="n">
        <v>238795</v>
      </c>
      <c r="M175" s="883">
        <f>L175-L174</f>
        <v/>
      </c>
      <c r="N175" s="128" t="n"/>
      <c r="O175" s="9" t="n"/>
      <c r="P175" s="9" t="n"/>
      <c r="Q175" s="9" t="n"/>
      <c r="R175" s="9" t="n"/>
      <c r="S175" s="9" t="n"/>
      <c r="T175" s="9" t="n"/>
      <c r="U175" s="9" t="n"/>
      <c r="V175" s="9" t="n"/>
    </row>
    <row r="176" hidden="1" ht="13.25" customHeight="1">
      <c r="A176" s="630" t="n">
        <v>8</v>
      </c>
      <c r="B176" s="588" t="inlineStr">
        <is>
          <t>水</t>
        </is>
      </c>
      <c r="C176" s="879" t="n">
        <v>846.41</v>
      </c>
      <c r="D176" s="879" t="n">
        <v>531.62</v>
      </c>
      <c r="E176" s="879" t="n">
        <v>2.22</v>
      </c>
      <c r="F176" s="887" t="n">
        <v>1042</v>
      </c>
      <c r="G176" s="588" t="n"/>
      <c r="H176" s="588" t="n">
        <v>1.76</v>
      </c>
      <c r="I176" s="588" t="n"/>
      <c r="J176" s="588" t="n">
        <v>613006</v>
      </c>
      <c r="K176" s="883">
        <f>J176-J175</f>
        <v/>
      </c>
      <c r="L176" s="588" t="n">
        <v>238897</v>
      </c>
      <c r="M176" s="883">
        <f>L176-L175</f>
        <v/>
      </c>
      <c r="N176" s="128" t="n"/>
      <c r="O176" s="9" t="n"/>
      <c r="P176" s="9" t="n"/>
      <c r="Q176" s="9" t="n"/>
      <c r="R176" s="9" t="n"/>
      <c r="S176" s="9" t="n"/>
      <c r="T176" s="9" t="n"/>
      <c r="U176" s="9" t="n"/>
      <c r="V176" s="9" t="n"/>
    </row>
    <row r="177" hidden="1" ht="13.25" customHeight="1">
      <c r="A177" s="630" t="n">
        <v>9</v>
      </c>
      <c r="B177" s="588" t="inlineStr">
        <is>
          <t>木</t>
        </is>
      </c>
      <c r="C177" s="879" t="n">
        <v>847.9</v>
      </c>
      <c r="D177" s="879" t="n">
        <v>531.96</v>
      </c>
      <c r="E177" s="879" t="n">
        <v>2.21</v>
      </c>
      <c r="F177" s="887" t="n">
        <v>1042</v>
      </c>
      <c r="G177" s="588" t="n"/>
      <c r="H177" s="588" t="n"/>
      <c r="I177" s="588" t="n">
        <v>1.76</v>
      </c>
      <c r="J177" s="588" t="n">
        <v>613194</v>
      </c>
      <c r="K177" s="883">
        <f>J177-J176</f>
        <v/>
      </c>
      <c r="L177" s="588" t="n">
        <v>239074</v>
      </c>
      <c r="M177" s="883">
        <f>L177-L176</f>
        <v/>
      </c>
      <c r="N177" s="128" t="n"/>
      <c r="O177" s="9" t="n"/>
      <c r="P177" s="9" t="n"/>
      <c r="Q177" s="9" t="n"/>
      <c r="R177" s="9" t="n"/>
      <c r="S177" s="9" t="n"/>
      <c r="T177" s="9" t="n"/>
      <c r="U177" s="9" t="n"/>
      <c r="V177" s="9" t="n"/>
    </row>
    <row r="178" hidden="1" ht="13.25" customHeight="1">
      <c r="A178" s="630" t="n">
        <v>10</v>
      </c>
      <c r="B178" s="588" t="inlineStr">
        <is>
          <t>金</t>
        </is>
      </c>
      <c r="C178" s="879" t="n">
        <v>834.8200000000001</v>
      </c>
      <c r="D178" s="879" t="n">
        <v>531.96</v>
      </c>
      <c r="E178" s="879" t="n">
        <v>2.21</v>
      </c>
      <c r="F178" s="888" t="n">
        <v>1042</v>
      </c>
      <c r="G178" s="588" t="n"/>
      <c r="H178" s="588" t="n"/>
      <c r="I178" s="588" t="n"/>
      <c r="J178" s="588" t="n">
        <v>613375</v>
      </c>
      <c r="K178" s="883">
        <f>J178-J177</f>
        <v/>
      </c>
      <c r="L178" s="588" t="n">
        <v>239241</v>
      </c>
      <c r="M178" s="883">
        <f>L178-L177</f>
        <v/>
      </c>
      <c r="N178" s="128" t="n"/>
      <c r="O178" s="9" t="n"/>
      <c r="P178" s="9" t="n"/>
      <c r="Q178" s="9" t="n"/>
      <c r="R178" s="9" t="n"/>
      <c r="S178" s="9" t="n"/>
      <c r="T178" s="9" t="n"/>
      <c r="U178" s="9" t="n"/>
      <c r="V178" s="9" t="n"/>
    </row>
    <row r="179" hidden="1" ht="13.25" customHeight="1">
      <c r="A179" s="630" t="n">
        <v>11</v>
      </c>
      <c r="B179" s="588" t="inlineStr">
        <is>
          <t>土</t>
        </is>
      </c>
      <c r="C179" s="879" t="n"/>
      <c r="D179" s="879" t="n"/>
      <c r="E179" s="879" t="n"/>
      <c r="F179" s="888" t="n"/>
      <c r="G179" s="588" t="n"/>
      <c r="H179" s="588" t="n"/>
      <c r="I179" s="588" t="n"/>
      <c r="J179" s="588" t="n"/>
      <c r="K179" s="883" t="n"/>
      <c r="L179" s="588" t="n"/>
      <c r="M179" s="883" t="n"/>
      <c r="N179" s="128" t="n"/>
      <c r="O179" s="9" t="n"/>
      <c r="P179" s="9" t="n"/>
      <c r="Q179" s="9" t="n"/>
      <c r="R179" s="9" t="n"/>
      <c r="S179" s="9" t="n"/>
      <c r="T179" s="9" t="n"/>
      <c r="U179" s="9" t="n"/>
      <c r="V179" s="9" t="n"/>
    </row>
    <row r="180" hidden="1" ht="13.25" customHeight="1">
      <c r="A180" s="630" t="n">
        <v>12</v>
      </c>
      <c r="B180" s="588" t="inlineStr">
        <is>
          <t>日</t>
        </is>
      </c>
      <c r="C180" s="879" t="n"/>
      <c r="D180" s="879" t="n"/>
      <c r="E180" s="879" t="n"/>
      <c r="F180" s="888" t="n"/>
      <c r="G180" s="588" t="n"/>
      <c r="H180" s="588" t="n"/>
      <c r="I180" s="588" t="n"/>
      <c r="J180" s="588" t="n"/>
      <c r="K180" s="883" t="n"/>
      <c r="L180" s="588" t="n"/>
      <c r="M180" s="883" t="n"/>
      <c r="N180" s="128" t="n"/>
      <c r="O180" s="9" t="n"/>
      <c r="P180" s="9" t="n"/>
      <c r="Q180" s="9" t="n"/>
      <c r="R180" s="9" t="n"/>
      <c r="S180" s="9" t="n"/>
      <c r="T180" s="9" t="n"/>
      <c r="U180" s="9" t="n"/>
      <c r="V180" s="9" t="n"/>
    </row>
    <row r="181" hidden="1" ht="13.25" customHeight="1">
      <c r="A181" s="630" t="n">
        <v>13</v>
      </c>
      <c r="B181" s="588" t="inlineStr">
        <is>
          <t>月</t>
        </is>
      </c>
      <c r="C181" s="879" t="n">
        <v>834.8200000000001</v>
      </c>
      <c r="D181" s="879" t="n">
        <v>531.96</v>
      </c>
      <c r="E181" s="879" t="n">
        <v>2.21</v>
      </c>
      <c r="F181" s="888" t="n">
        <v>1043</v>
      </c>
      <c r="G181" s="588" t="n">
        <v>13</v>
      </c>
      <c r="H181" s="588" t="n"/>
      <c r="I181" s="588" t="n"/>
      <c r="J181" s="588" t="n">
        <v>614017</v>
      </c>
      <c r="K181" s="883">
        <f>(J181-J178)/3</f>
        <v/>
      </c>
      <c r="L181" s="588" t="n">
        <v>239676</v>
      </c>
      <c r="M181" s="883">
        <f>(L181-L178)/3</f>
        <v/>
      </c>
      <c r="N181" s="128" t="n"/>
      <c r="O181" s="9" t="n"/>
      <c r="P181" s="9" t="n"/>
      <c r="Q181" s="9" t="n"/>
      <c r="R181" s="9" t="n"/>
      <c r="S181" s="9" t="n"/>
      <c r="T181" s="9" t="n"/>
      <c r="U181" s="9" t="n"/>
      <c r="V181" s="9" t="n"/>
    </row>
    <row r="182" hidden="1" ht="13.25" customHeight="1">
      <c r="A182" s="630" t="n">
        <v>14</v>
      </c>
      <c r="B182" s="588" t="inlineStr">
        <is>
          <t>火</t>
        </is>
      </c>
      <c r="C182" s="879" t="n">
        <v>834.8200000000001</v>
      </c>
      <c r="D182" s="879" t="n">
        <v>531.96</v>
      </c>
      <c r="E182" s="879" t="n">
        <v>2.21</v>
      </c>
      <c r="F182" s="888" t="n">
        <v>1043</v>
      </c>
      <c r="G182" s="588" t="n"/>
      <c r="H182" s="588" t="n"/>
      <c r="I182" s="588" t="n"/>
      <c r="J182" s="588" t="n">
        <v>614205</v>
      </c>
      <c r="K182" s="883">
        <f>J182-J181</f>
        <v/>
      </c>
      <c r="L182" s="588" t="n">
        <v>239836</v>
      </c>
      <c r="M182" s="883">
        <f>L182-L181</f>
        <v/>
      </c>
      <c r="N182" s="128" t="n"/>
      <c r="O182" s="9" t="n"/>
      <c r="P182" s="9" t="n"/>
      <c r="Q182" s="9" t="n"/>
      <c r="R182" s="9" t="n"/>
      <c r="S182" s="9" t="n"/>
      <c r="T182" s="9" t="n"/>
      <c r="U182" s="9" t="n"/>
      <c r="V182" s="9" t="n"/>
    </row>
    <row r="183" hidden="1" ht="13.25" customHeight="1">
      <c r="A183" s="630" t="n">
        <v>15</v>
      </c>
      <c r="B183" s="588" t="inlineStr">
        <is>
          <t>水</t>
        </is>
      </c>
      <c r="C183" s="879" t="n">
        <v>834.8200000000001</v>
      </c>
      <c r="D183" s="879" t="n">
        <v>531.96</v>
      </c>
      <c r="E183" s="879" t="n">
        <v>2.21</v>
      </c>
      <c r="F183" s="888" t="n">
        <v>1043</v>
      </c>
      <c r="G183" s="588" t="n"/>
      <c r="H183" s="588" t="n">
        <v>1.64</v>
      </c>
      <c r="I183" s="588" t="n"/>
      <c r="J183" s="588" t="n">
        <v>614402</v>
      </c>
      <c r="K183" s="883">
        <f>J183-J182</f>
        <v/>
      </c>
      <c r="L183" s="588" t="n">
        <v>239985</v>
      </c>
      <c r="M183" s="883">
        <f>L183-L182</f>
        <v/>
      </c>
      <c r="N183" s="128" t="n"/>
      <c r="O183" s="9" t="n"/>
      <c r="P183" s="9" t="n"/>
      <c r="Q183" s="9" t="n"/>
      <c r="R183" s="9" t="n"/>
      <c r="S183" s="9" t="n"/>
      <c r="T183" s="9" t="n"/>
      <c r="U183" s="9" t="n"/>
      <c r="V183" s="9" t="n"/>
    </row>
    <row r="184" hidden="1" ht="13.25" customHeight="1">
      <c r="A184" s="630" t="n">
        <v>16</v>
      </c>
      <c r="B184" s="588" t="inlineStr">
        <is>
          <t>木</t>
        </is>
      </c>
      <c r="C184" s="879" t="n">
        <v>834.8200000000001</v>
      </c>
      <c r="D184" s="879" t="n">
        <v>531.96</v>
      </c>
      <c r="E184" s="879" t="n">
        <v>2.21</v>
      </c>
      <c r="F184" s="888" t="n">
        <v>1043</v>
      </c>
      <c r="G184" s="588" t="n"/>
      <c r="H184" s="588" t="n"/>
      <c r="I184" s="588" t="n">
        <v>1.64</v>
      </c>
      <c r="J184" s="588" t="n">
        <v>614600</v>
      </c>
      <c r="K184" s="883">
        <f>J184-J183</f>
        <v/>
      </c>
      <c r="L184" s="588" t="n">
        <v>240174</v>
      </c>
      <c r="M184" s="883">
        <f>L184-L183</f>
        <v/>
      </c>
      <c r="N184" s="128" t="n"/>
      <c r="O184" s="9" t="n"/>
      <c r="P184" s="9" t="n"/>
      <c r="Q184" s="9" t="n"/>
      <c r="R184" s="9" t="n"/>
      <c r="S184" s="9" t="n"/>
      <c r="T184" s="9" t="n"/>
      <c r="U184" s="9" t="n"/>
      <c r="V184" s="9" t="n"/>
    </row>
    <row r="185" hidden="1" ht="13.25" customHeight="1">
      <c r="A185" s="630" t="n">
        <v>17</v>
      </c>
      <c r="B185" s="588" t="inlineStr">
        <is>
          <t>金</t>
        </is>
      </c>
      <c r="C185" s="879" t="n">
        <v>834.8200000000001</v>
      </c>
      <c r="D185" s="879" t="n">
        <v>531.96</v>
      </c>
      <c r="E185" s="879" t="n">
        <v>2.21</v>
      </c>
      <c r="F185" s="888" t="n">
        <v>1043</v>
      </c>
      <c r="G185" s="588" t="n"/>
      <c r="H185" s="588" t="n"/>
      <c r="I185" s="588" t="n"/>
      <c r="J185" s="588" t="n">
        <v>614797</v>
      </c>
      <c r="K185" s="883" t="n">
        <v>197</v>
      </c>
      <c r="L185" s="588" t="n">
        <v>240394</v>
      </c>
      <c r="M185" s="883" t="n">
        <v>220</v>
      </c>
      <c r="N185" s="128" t="n"/>
      <c r="O185" s="9" t="n"/>
      <c r="P185" s="9" t="n"/>
      <c r="Q185" s="9" t="n"/>
      <c r="R185" s="9" t="n"/>
      <c r="S185" s="9" t="n"/>
      <c r="T185" s="9" t="n"/>
      <c r="U185" s="9" t="n"/>
      <c r="V185" s="9" t="n"/>
    </row>
    <row r="186" hidden="1" ht="13.25" customHeight="1">
      <c r="A186" s="630" t="n">
        <v>18</v>
      </c>
      <c r="B186" s="588" t="inlineStr">
        <is>
          <t>土</t>
        </is>
      </c>
      <c r="C186" s="879" t="n"/>
      <c r="D186" s="879" t="n"/>
      <c r="E186" s="879" t="n"/>
      <c r="F186" s="888" t="n"/>
      <c r="G186" s="588" t="n"/>
      <c r="H186" s="588" t="n"/>
      <c r="I186" s="588" t="n"/>
      <c r="J186" s="588" t="n"/>
      <c r="K186" s="883" t="n"/>
      <c r="L186" s="588" t="n"/>
      <c r="M186" s="883" t="n"/>
      <c r="N186" s="128" t="n"/>
      <c r="O186" s="9" t="n"/>
      <c r="P186" s="9" t="n"/>
      <c r="Q186" s="9" t="n"/>
      <c r="R186" s="9" t="n"/>
      <c r="S186" s="9" t="n"/>
      <c r="T186" s="9" t="n"/>
      <c r="U186" s="9" t="n"/>
      <c r="V186" s="9" t="n"/>
    </row>
    <row r="187" hidden="1" ht="13.25" customHeight="1">
      <c r="A187" s="630" t="n">
        <v>19</v>
      </c>
      <c r="B187" s="588" t="inlineStr">
        <is>
          <t>日</t>
        </is>
      </c>
      <c r="C187" s="879" t="n"/>
      <c r="D187" s="879" t="n"/>
      <c r="E187" s="879" t="n"/>
      <c r="F187" s="888" t="n"/>
      <c r="G187" s="588" t="n"/>
      <c r="H187" s="588" t="n"/>
      <c r="I187" s="588" t="n"/>
      <c r="J187" s="588" t="n"/>
      <c r="K187" s="883" t="n"/>
      <c r="L187" s="588" t="n"/>
      <c r="M187" s="883" t="n"/>
      <c r="N187" s="128" t="n"/>
      <c r="O187" s="9" t="n"/>
      <c r="P187" s="9" t="n"/>
      <c r="Q187" s="9" t="n"/>
      <c r="R187" s="9" t="n"/>
      <c r="S187" s="9" t="n"/>
      <c r="T187" s="9" t="n"/>
      <c r="U187" s="9" t="n"/>
      <c r="V187" s="9" t="n"/>
    </row>
    <row r="188" hidden="1" ht="13.25" customHeight="1">
      <c r="A188" s="630" t="n">
        <v>20</v>
      </c>
      <c r="B188" s="588" t="inlineStr">
        <is>
          <t>月</t>
        </is>
      </c>
      <c r="C188" s="879" t="n">
        <v>834.8200000000001</v>
      </c>
      <c r="D188" s="879" t="n">
        <v>531.96</v>
      </c>
      <c r="E188" s="879" t="n">
        <v>2.21</v>
      </c>
      <c r="F188" s="888" t="n">
        <v>1043</v>
      </c>
      <c r="G188" s="588" t="n">
        <v>14</v>
      </c>
      <c r="H188" s="588" t="n"/>
      <c r="I188" s="588" t="n"/>
      <c r="J188" s="588" t="n">
        <v>615418</v>
      </c>
      <c r="K188" s="883">
        <f>(J188-J185)/3</f>
        <v/>
      </c>
      <c r="L188" s="588" t="n">
        <v>240817</v>
      </c>
      <c r="M188" s="883">
        <f>(L188-L185)/3</f>
        <v/>
      </c>
      <c r="N188" s="128" t="n"/>
      <c r="O188" s="9" t="n"/>
      <c r="P188" s="9" t="n"/>
      <c r="Q188" s="9" t="n"/>
      <c r="R188" s="9" t="n"/>
      <c r="S188" s="9" t="n"/>
      <c r="T188" s="9" t="n"/>
      <c r="U188" s="9" t="n"/>
      <c r="V188" s="9" t="n"/>
    </row>
    <row r="189" hidden="1" ht="13.25" customHeight="1">
      <c r="A189" s="630" t="n">
        <v>21</v>
      </c>
      <c r="B189" s="588" t="inlineStr">
        <is>
          <t>火</t>
        </is>
      </c>
      <c r="C189" s="879" t="n">
        <v>834.8200000000001</v>
      </c>
      <c r="D189" s="879" t="n">
        <v>531.96</v>
      </c>
      <c r="E189" s="879" t="n">
        <v>2.21</v>
      </c>
      <c r="F189" s="888" t="n">
        <v>1043</v>
      </c>
      <c r="G189" s="588" t="n"/>
      <c r="H189" s="588" t="n"/>
      <c r="I189" s="588" t="n"/>
      <c r="J189" s="588" t="n">
        <v>615615</v>
      </c>
      <c r="K189" s="883">
        <f>J189-J188</f>
        <v/>
      </c>
      <c r="L189" s="588" t="n">
        <v>240965</v>
      </c>
      <c r="M189" s="883">
        <f>L189-L188</f>
        <v/>
      </c>
      <c r="N189" s="128" t="n"/>
      <c r="O189" s="9" t="n"/>
      <c r="P189" s="9" t="n"/>
      <c r="Q189" s="9" t="n"/>
      <c r="R189" s="9" t="n"/>
      <c r="S189" s="9" t="n"/>
      <c r="T189" s="9" t="n"/>
      <c r="U189" s="9" t="n"/>
      <c r="V189" s="9" t="n"/>
    </row>
    <row r="190" hidden="1" ht="13.25" customHeight="1">
      <c r="A190" s="630" t="n">
        <v>22</v>
      </c>
      <c r="B190" s="588" t="inlineStr">
        <is>
          <t>水</t>
        </is>
      </c>
      <c r="C190" s="879" t="n">
        <v>834.8200000000001</v>
      </c>
      <c r="D190" s="879" t="n">
        <v>531.96</v>
      </c>
      <c r="E190" s="879" t="n">
        <v>2.21</v>
      </c>
      <c r="F190" s="888" t="n">
        <v>1043</v>
      </c>
      <c r="G190" s="588" t="n"/>
      <c r="H190" s="588" t="n">
        <v>1.41</v>
      </c>
      <c r="I190" s="588" t="n"/>
      <c r="J190" s="588" t="n">
        <v>615820</v>
      </c>
      <c r="K190" s="883">
        <f>J190-J189</f>
        <v/>
      </c>
      <c r="L190" s="588" t="n">
        <v>241091</v>
      </c>
      <c r="M190" s="883">
        <f>L190-L189</f>
        <v/>
      </c>
      <c r="N190" s="128" t="n"/>
      <c r="O190" s="9" t="n"/>
      <c r="P190" s="9" t="n"/>
      <c r="Q190" s="9" t="n"/>
      <c r="R190" s="9" t="n"/>
      <c r="S190" s="9" t="n"/>
      <c r="T190" s="9" t="n"/>
      <c r="U190" s="9" t="n"/>
      <c r="V190" s="9" t="n"/>
    </row>
    <row r="191" hidden="1" ht="13.25" customHeight="1">
      <c r="A191" s="630" t="n">
        <v>23</v>
      </c>
      <c r="B191" s="588" t="inlineStr">
        <is>
          <t>木</t>
        </is>
      </c>
      <c r="C191" s="879" t="n"/>
      <c r="D191" s="879" t="n"/>
      <c r="E191" s="879" t="n"/>
      <c r="F191" s="888" t="n"/>
      <c r="G191" s="588" t="n"/>
      <c r="H191" s="588" t="n"/>
      <c r="I191" s="588" t="n"/>
      <c r="J191" s="588" t="n"/>
      <c r="K191" s="883" t="n"/>
      <c r="L191" s="588" t="n"/>
      <c r="M191" s="883" t="n"/>
      <c r="N191" s="128" t="n"/>
      <c r="O191" s="9" t="n"/>
      <c r="P191" s="9" t="n"/>
      <c r="Q191" s="9" t="n"/>
      <c r="R191" s="9" t="n"/>
      <c r="S191" s="9" t="n"/>
      <c r="T191" s="9" t="n"/>
      <c r="U191" s="9" t="n"/>
      <c r="V191" s="9" t="n"/>
    </row>
    <row r="192" hidden="1" ht="13.25" customHeight="1">
      <c r="A192" s="630" t="n">
        <v>24</v>
      </c>
      <c r="B192" s="588" t="inlineStr">
        <is>
          <t>金</t>
        </is>
      </c>
      <c r="C192" s="879" t="n">
        <v>834.8200000000001</v>
      </c>
      <c r="D192" s="879" t="n">
        <v>531.96</v>
      </c>
      <c r="E192" s="879" t="n">
        <v>2.21</v>
      </c>
      <c r="F192" s="888" t="n">
        <v>1044</v>
      </c>
      <c r="G192" s="588" t="n"/>
      <c r="H192" s="588" t="n"/>
      <c r="I192" s="588" t="n">
        <v>1.41</v>
      </c>
      <c r="J192" s="588" t="n">
        <v>616211</v>
      </c>
      <c r="K192" s="883">
        <f>(J192-J190)/2</f>
        <v/>
      </c>
      <c r="L192" s="588" t="n">
        <v>241522</v>
      </c>
      <c r="M192" s="883">
        <f>(L192-L190)/2</f>
        <v/>
      </c>
      <c r="N192" s="128" t="n"/>
      <c r="O192" s="9" t="n"/>
      <c r="P192" s="9" t="n"/>
      <c r="Q192" s="9" t="n"/>
      <c r="R192" s="9" t="n"/>
      <c r="S192" s="9" t="n"/>
      <c r="T192" s="9" t="n"/>
      <c r="U192" s="9" t="n"/>
      <c r="V192" s="9" t="n"/>
    </row>
    <row r="193" hidden="1" ht="13.25" customHeight="1">
      <c r="A193" s="630" t="n">
        <v>25</v>
      </c>
      <c r="B193" s="588" t="inlineStr">
        <is>
          <t>土</t>
        </is>
      </c>
      <c r="C193" s="879" t="n"/>
      <c r="D193" s="879" t="n"/>
      <c r="E193" s="879" t="n"/>
      <c r="F193" s="888" t="n"/>
      <c r="G193" s="588" t="n"/>
      <c r="H193" s="588" t="n"/>
      <c r="I193" s="588" t="n"/>
      <c r="J193" s="588" t="n"/>
      <c r="K193" s="883" t="n"/>
      <c r="L193" s="588" t="n"/>
      <c r="M193" s="883" t="n"/>
      <c r="N193" s="128" t="n"/>
      <c r="O193" s="9" t="n"/>
      <c r="P193" s="9" t="n"/>
      <c r="Q193" s="9" t="n"/>
      <c r="R193" s="9" t="n"/>
      <c r="S193" s="9" t="n"/>
      <c r="T193" s="9" t="n"/>
      <c r="U193" s="9" t="n"/>
      <c r="V193" s="9" t="n"/>
    </row>
    <row r="194" hidden="1" ht="13.25" customHeight="1">
      <c r="A194" s="630" t="n">
        <v>26</v>
      </c>
      <c r="B194" s="588" t="inlineStr">
        <is>
          <t>日</t>
        </is>
      </c>
      <c r="C194" s="879" t="n"/>
      <c r="D194" s="879" t="n"/>
      <c r="E194" s="879" t="n"/>
      <c r="F194" s="888" t="n"/>
      <c r="G194" s="588" t="n"/>
      <c r="H194" s="588" t="n"/>
      <c r="I194" s="588" t="n"/>
      <c r="J194" s="588" t="n"/>
      <c r="K194" s="883" t="n"/>
      <c r="L194" s="588" t="n"/>
      <c r="M194" s="883" t="n"/>
      <c r="N194" s="128" t="n"/>
      <c r="O194" s="9" t="n"/>
      <c r="P194" s="9" t="n"/>
      <c r="Q194" s="9" t="n"/>
      <c r="R194" s="9" t="n"/>
      <c r="S194" s="9" t="n"/>
      <c r="T194" s="9" t="n"/>
      <c r="U194" s="9" t="n"/>
      <c r="V194" s="9" t="n"/>
    </row>
    <row r="195" hidden="1" ht="13.25" customHeight="1">
      <c r="A195" s="630" t="n">
        <v>27</v>
      </c>
      <c r="B195" s="588" t="inlineStr">
        <is>
          <t>月</t>
        </is>
      </c>
      <c r="C195" s="879" t="n">
        <v>875.37</v>
      </c>
      <c r="D195" s="879" t="n">
        <v>558.52</v>
      </c>
      <c r="E195" s="879" t="n">
        <v>2.27</v>
      </c>
      <c r="F195" s="888" t="n">
        <v>1044</v>
      </c>
      <c r="G195" s="588" t="n">
        <v>15</v>
      </c>
      <c r="H195" s="588" t="n"/>
      <c r="I195" s="588" t="n"/>
      <c r="J195" s="588" t="n">
        <v>616822</v>
      </c>
      <c r="K195" s="883">
        <f>(J195-J192)/3</f>
        <v/>
      </c>
      <c r="L195" s="588" t="n">
        <v>241984</v>
      </c>
      <c r="M195" s="883">
        <f>(L195-L192)/3</f>
        <v/>
      </c>
      <c r="N195" s="128" t="n"/>
      <c r="O195" s="9" t="n"/>
      <c r="P195" s="9" t="n"/>
      <c r="Q195" s="9" t="n"/>
      <c r="R195" s="9" t="n"/>
      <c r="S195" s="9" t="n"/>
      <c r="T195" s="9" t="n"/>
      <c r="U195" s="9" t="n"/>
      <c r="V195" s="9" t="n"/>
    </row>
    <row r="196" hidden="1" ht="13.25" customHeight="1">
      <c r="A196" s="630" t="n">
        <v>28</v>
      </c>
      <c r="B196" s="588" t="inlineStr">
        <is>
          <t>火</t>
        </is>
      </c>
      <c r="C196" s="879" t="n">
        <v>876.87</v>
      </c>
      <c r="D196" s="879" t="n">
        <v>559.49</v>
      </c>
      <c r="E196" s="879" t="n">
        <v>2.2</v>
      </c>
      <c r="F196" s="888" t="n">
        <v>1044</v>
      </c>
      <c r="G196" s="588" t="n"/>
      <c r="H196" s="588" t="n"/>
      <c r="I196" s="588" t="n"/>
      <c r="J196" s="588" t="n">
        <v>617013</v>
      </c>
      <c r="K196" s="588">
        <f>J196-J195</f>
        <v/>
      </c>
      <c r="L196" s="588" t="n">
        <v>242137</v>
      </c>
      <c r="M196" s="588">
        <f>L196-L195</f>
        <v/>
      </c>
      <c r="N196" s="128" t="n"/>
      <c r="O196" s="9" t="n"/>
      <c r="P196" s="9" t="n"/>
      <c r="Q196" s="9" t="n"/>
      <c r="R196" s="9" t="n"/>
      <c r="S196" s="9" t="n"/>
      <c r="T196" s="9" t="n"/>
      <c r="U196" s="9" t="n"/>
      <c r="V196" s="9" t="n"/>
    </row>
    <row r="197" hidden="1" ht="13.25" customHeight="1">
      <c r="A197" s="630" t="n">
        <v>29</v>
      </c>
      <c r="B197" s="588" t="inlineStr">
        <is>
          <t>水</t>
        </is>
      </c>
      <c r="C197" s="879" t="n">
        <v>878.79</v>
      </c>
      <c r="D197" s="879" t="n">
        <v>560.8099999999999</v>
      </c>
      <c r="E197" s="879" t="n">
        <v>2.3</v>
      </c>
      <c r="F197" s="888" t="n">
        <v>1044</v>
      </c>
      <c r="G197" s="588" t="n"/>
      <c r="H197" s="588" t="n">
        <v>1.81</v>
      </c>
      <c r="I197" s="588" t="n"/>
      <c r="J197" s="588" t="n">
        <v>617206</v>
      </c>
      <c r="K197" s="588">
        <f>J197-J196</f>
        <v/>
      </c>
      <c r="L197" s="588" t="n">
        <v>242321</v>
      </c>
      <c r="M197" s="588">
        <f>L197-L196</f>
        <v/>
      </c>
      <c r="N197" s="128" t="n"/>
      <c r="O197" s="9" t="n"/>
      <c r="P197" s="9" t="n"/>
      <c r="Q197" s="9" t="n"/>
      <c r="R197" s="9" t="n"/>
      <c r="S197" s="9" t="n"/>
      <c r="T197" s="9" t="n"/>
      <c r="U197" s="9" t="n"/>
      <c r="V197" s="9" t="n"/>
    </row>
    <row r="198" hidden="1" ht="13.25" customHeight="1">
      <c r="A198" s="630" t="n">
        <v>30</v>
      </c>
      <c r="B198" s="588" t="inlineStr">
        <is>
          <t>木</t>
        </is>
      </c>
      <c r="C198" s="879" t="n">
        <v>880.37</v>
      </c>
      <c r="D198" s="879" t="n">
        <v>561.84</v>
      </c>
      <c r="E198" s="879" t="n">
        <v>2.3</v>
      </c>
      <c r="F198" s="888" t="n">
        <v>1044</v>
      </c>
      <c r="G198" s="588" t="n"/>
      <c r="H198" s="588" t="n"/>
      <c r="I198" s="588" t="n">
        <v>1.81</v>
      </c>
      <c r="J198" s="588" t="n">
        <v>617410</v>
      </c>
      <c r="K198" s="588">
        <f>J198-J197</f>
        <v/>
      </c>
      <c r="L198" s="588" t="n">
        <v>242517</v>
      </c>
      <c r="M198" s="588">
        <f>L198-L197</f>
        <v/>
      </c>
      <c r="N198" s="128" t="n"/>
      <c r="O198" s="9" t="n"/>
      <c r="P198" s="9" t="n"/>
      <c r="Q198" s="9" t="n"/>
      <c r="R198" s="9" t="n"/>
      <c r="S198" s="9" t="n"/>
      <c r="T198" s="9" t="n"/>
      <c r="U198" s="9" t="n"/>
      <c r="V198" s="9" t="n"/>
    </row>
    <row r="199" hidden="1" ht="13.25" customHeight="1">
      <c r="A199" s="630" t="n"/>
      <c r="B199" s="588" t="n"/>
      <c r="C199" s="879" t="n"/>
      <c r="D199" s="879" t="n"/>
      <c r="E199" s="879" t="n"/>
      <c r="F199" s="888" t="n"/>
      <c r="G199" s="588" t="n"/>
      <c r="H199" s="588" t="n"/>
      <c r="I199" s="588" t="n"/>
      <c r="J199" s="588" t="n"/>
      <c r="K199" s="588" t="n"/>
      <c r="L199" s="588" t="n"/>
      <c r="M199" s="588" t="n"/>
      <c r="N199" s="128" t="n"/>
      <c r="O199" s="9" t="n"/>
      <c r="P199" s="9" t="n"/>
      <c r="Q199" s="9" t="n"/>
      <c r="R199" s="9" t="n"/>
      <c r="S199" s="9" t="n"/>
      <c r="T199" s="9" t="n"/>
      <c r="U199" s="9" t="n"/>
      <c r="V199" s="9" t="n"/>
    </row>
    <row r="200" hidden="1" ht="13.25" customHeight="1">
      <c r="A200" s="589" t="inlineStr">
        <is>
          <t>最大</t>
        </is>
      </c>
      <c r="B200" s="580" t="n"/>
      <c r="C200" s="176" t="inlineStr">
        <is>
          <t>-</t>
        </is>
      </c>
      <c r="D200" s="176" t="inlineStr">
        <is>
          <t>-</t>
        </is>
      </c>
      <c r="E200" s="176" t="inlineStr">
        <is>
          <t>-</t>
        </is>
      </c>
      <c r="F200" s="176" t="inlineStr">
        <is>
          <t>-</t>
        </is>
      </c>
      <c r="G200" s="883">
        <f>MAX(G174,G181,G188,G195,G178,G184,G191,G198)</f>
        <v/>
      </c>
      <c r="H200" s="168">
        <f>MAX(H169,H176,H183,H190,H197,H179,H186,H193)</f>
        <v/>
      </c>
      <c r="I200" s="168">
        <f>MAX(I170,I177,I184,I192,I198,I180,I187,I194,I179,I186,I193)</f>
        <v/>
      </c>
      <c r="J200" s="176" t="inlineStr">
        <is>
          <t>-</t>
        </is>
      </c>
      <c r="K200" s="883">
        <f>MAX(K169:K170,K174:K178,K181:K185,K188:K190,K192,K195:K198,K178:K181,K184:K188,K191:K195,K198:K199)</f>
        <v/>
      </c>
      <c r="L200" s="176" t="inlineStr">
        <is>
          <t>-</t>
        </is>
      </c>
      <c r="M200" s="883">
        <f>MAX(M169:M170,M174:M178,M181:M185,M188:M190,M192,M195:M198,M178:M181,M184:M188,M191:M195,M198:M199)</f>
        <v/>
      </c>
      <c r="N200" s="128" t="n"/>
      <c r="O200" s="9" t="n"/>
      <c r="P200" s="9" t="n"/>
      <c r="Q200" s="9" t="n"/>
      <c r="R200" s="9" t="n"/>
      <c r="S200" s="9" t="n"/>
      <c r="T200" s="9" t="n"/>
      <c r="U200" s="9" t="n"/>
      <c r="V200" s="9" t="n"/>
    </row>
    <row r="201" hidden="1" ht="13.25" customHeight="1">
      <c r="A201" s="589" t="inlineStr">
        <is>
          <t>平均</t>
        </is>
      </c>
      <c r="B201" s="580" t="n"/>
      <c r="C201" s="176" t="inlineStr">
        <is>
          <t>-</t>
        </is>
      </c>
      <c r="D201" s="176" t="inlineStr">
        <is>
          <t>-</t>
        </is>
      </c>
      <c r="E201" s="176" t="inlineStr">
        <is>
          <t>-</t>
        </is>
      </c>
      <c r="F201" s="176" t="inlineStr">
        <is>
          <t>-</t>
        </is>
      </c>
      <c r="G201" s="883">
        <f>AVERAGE(G174,G181:G182,G188,G195,G178,G184,G191,G198)</f>
        <v/>
      </c>
      <c r="H201" s="878">
        <f>AVERAGE(H169,H176,H183,H190,H197)</f>
        <v/>
      </c>
      <c r="I201" s="878">
        <f>AVERAGE(I170,I177,I184,I192,I198)</f>
        <v/>
      </c>
      <c r="J201" s="176" t="inlineStr">
        <is>
          <t>-</t>
        </is>
      </c>
      <c r="K201" s="883">
        <f>AVERAGE(K169:K170,K174:K178,K181:K185,K188:K190,K192,K195:K198,K178:K181,K184:K188,K191:K195,K198:K199)</f>
        <v/>
      </c>
      <c r="L201" s="176" t="inlineStr">
        <is>
          <t>-</t>
        </is>
      </c>
      <c r="M201" s="883">
        <f>AVERAGE(M169:M170,M174:M178,M181:M185,M188:M190,M192,M195:M198,M178:M181,M184:M188,M191:M195,M198:M199)</f>
        <v/>
      </c>
      <c r="N201" s="128" t="n"/>
      <c r="O201" s="9" t="n"/>
      <c r="P201" s="9" t="n"/>
      <c r="Q201" s="9" t="n"/>
      <c r="R201" s="9" t="n"/>
      <c r="S201" s="9" t="n"/>
      <c r="T201" s="9" t="n"/>
      <c r="U201" s="9" t="n"/>
      <c r="V201" s="9" t="n"/>
    </row>
    <row r="202" hidden="1" ht="13.25" customHeight="1">
      <c r="A202" s="589" t="inlineStr">
        <is>
          <t>最小</t>
        </is>
      </c>
      <c r="B202" s="580" t="n"/>
      <c r="C202" s="176" t="inlineStr">
        <is>
          <t>-</t>
        </is>
      </c>
      <c r="D202" s="176" t="inlineStr">
        <is>
          <t>-</t>
        </is>
      </c>
      <c r="E202" s="176" t="inlineStr">
        <is>
          <t>-</t>
        </is>
      </c>
      <c r="F202" s="176" t="inlineStr">
        <is>
          <t>-</t>
        </is>
      </c>
      <c r="G202" s="883">
        <f>MIN(G174,G181,G188:G189,G195,G178,G184,G191,G198)</f>
        <v/>
      </c>
      <c r="H202" s="168">
        <f>MIN(H169,H176,H183,H190,H197,H179,H186,H193)</f>
        <v/>
      </c>
      <c r="I202" s="168">
        <f>MIN(I170,I177,I184,I192,I198,I180,I187,I194,I179,I186,I193)</f>
        <v/>
      </c>
      <c r="J202" s="176" t="inlineStr">
        <is>
          <t>-</t>
        </is>
      </c>
      <c r="K202" s="883">
        <f>MIN(K169:K170,K174:K178,K181:K185,K188:K190,K192,K195:K198,K178:K181,K184:K188,K191:K195,K198:K199)</f>
        <v/>
      </c>
      <c r="L202" s="176" t="inlineStr">
        <is>
          <t>-</t>
        </is>
      </c>
      <c r="M202" s="883">
        <f>MIN(M169:M170,M174:M178,M181:M185,M188:M190,M192,M195:M198,M178:M181,M184:M188,M191:M195,M198:M199)</f>
        <v/>
      </c>
      <c r="N202" s="128" t="n"/>
      <c r="O202" s="9" t="n"/>
      <c r="P202" s="9" t="n"/>
      <c r="Q202" s="9" t="n"/>
      <c r="R202" s="9" t="n"/>
      <c r="S202" s="9" t="n"/>
      <c r="T202" s="9" t="n"/>
      <c r="U202" s="9" t="n"/>
      <c r="V202" s="9" t="n"/>
    </row>
    <row r="203" hidden="1" ht="13.25" customHeight="1">
      <c r="A203" s="589" t="inlineStr">
        <is>
          <t>合計</t>
        </is>
      </c>
      <c r="B203" s="580" t="n"/>
      <c r="C203" s="176" t="n"/>
      <c r="D203" s="176" t="inlineStr">
        <is>
          <t>-</t>
        </is>
      </c>
      <c r="E203" s="176" t="inlineStr">
        <is>
          <t>-</t>
        </is>
      </c>
      <c r="F203" s="176" t="inlineStr">
        <is>
          <t>-</t>
        </is>
      </c>
      <c r="G203" s="883">
        <f>SUM(G174,G181,G188,G195)</f>
        <v/>
      </c>
      <c r="H203" s="878">
        <f>SUM(H169,H176,H183,H190,H197)</f>
        <v/>
      </c>
      <c r="I203" s="168">
        <f>SUM(I170,I177,I184,I192,I198)</f>
        <v/>
      </c>
      <c r="J203" s="176" t="inlineStr">
        <is>
          <t>-</t>
        </is>
      </c>
      <c r="K203" s="883">
        <f>SUM(K169:K170,K174:K178,K181:K185,K188:K190,K192,K195:K198)</f>
        <v/>
      </c>
      <c r="L203" s="176" t="inlineStr">
        <is>
          <t>-</t>
        </is>
      </c>
      <c r="M203" s="883">
        <f>SUM(M169:M170,M174:M178,M181:M185,M188:M190,M192,M195:M198)</f>
        <v/>
      </c>
      <c r="N203" s="128" t="n"/>
      <c r="O203" s="9" t="n"/>
      <c r="P203" s="9" t="n"/>
      <c r="Q203" s="9" t="n"/>
      <c r="R203" s="9" t="n"/>
      <c r="S203" s="9" t="n"/>
      <c r="T203" s="9" t="n"/>
      <c r="U203" s="9" t="n"/>
      <c r="V203" s="9" t="n"/>
    </row>
    <row r="204" hidden="1" ht="30" customHeight="1">
      <c r="A204" s="127" t="inlineStr">
        <is>
          <t xml:space="preserve">　吉和水質管理センター運転管理月報</t>
        </is>
      </c>
      <c r="B204" s="128" t="n"/>
      <c r="C204" s="128" t="n"/>
      <c r="D204" s="128" t="n"/>
      <c r="E204" s="128" t="n"/>
      <c r="F204" s="128" t="n"/>
      <c r="G204" s="128" t="n"/>
      <c r="H204" s="128" t="n"/>
      <c r="I204" s="128" t="n"/>
      <c r="J204" s="676" t="inlineStr">
        <is>
          <t xml:space="preserve">　　　　　　　　平成18年12月分</t>
        </is>
      </c>
      <c r="K204" s="598" t="n"/>
      <c r="L204" s="598" t="n"/>
      <c r="M204" s="598" t="n"/>
      <c r="N204" s="128" t="n"/>
      <c r="O204" s="9" t="n"/>
      <c r="P204" s="9" t="n"/>
      <c r="Q204" s="9" t="n"/>
      <c r="R204" s="9" t="n"/>
      <c r="S204" s="9" t="n"/>
      <c r="T204" s="9" t="n"/>
      <c r="U204" s="9" t="n"/>
      <c r="V204" s="9" t="n"/>
    </row>
    <row r="205" hidden="1" ht="13.5" customHeight="1">
      <c r="A205" s="678" t="inlineStr">
        <is>
          <t>日付</t>
        </is>
      </c>
      <c r="B205" s="678" t="inlineStr">
        <is>
          <t>曜日</t>
        </is>
      </c>
      <c r="C205" s="680" t="inlineStr">
        <is>
          <t>全日電力量読み値</t>
        </is>
      </c>
      <c r="D205" s="680" t="inlineStr">
        <is>
          <t>力測電力量読み値</t>
        </is>
      </c>
      <c r="E205" s="680" t="inlineStr">
        <is>
          <t>無効電力量読み値</t>
        </is>
      </c>
      <c r="F205" s="680" t="inlineStr">
        <is>
          <t>上水使用量読み値</t>
        </is>
      </c>
      <c r="G205" s="589" t="inlineStr">
        <is>
          <t>固形塩素</t>
        </is>
      </c>
      <c r="H205" s="589" t="inlineStr">
        <is>
          <t>脱水ケーキ</t>
        </is>
      </c>
      <c r="I205" s="580" t="n"/>
      <c r="J205" s="683" t="inlineStr">
        <is>
          <t>No.1</t>
        </is>
      </c>
      <c r="K205" s="587" t="n"/>
      <c r="L205" s="683" t="inlineStr">
        <is>
          <t>No.2</t>
        </is>
      </c>
      <c r="M205" s="587" t="n"/>
      <c r="N205" s="128" t="n"/>
      <c r="O205" s="9" t="n"/>
      <c r="P205" s="9" t="n"/>
      <c r="Q205" s="9" t="n"/>
      <c r="R205" s="9" t="n"/>
      <c r="S205" s="9" t="n"/>
      <c r="T205" s="9" t="n"/>
      <c r="U205" s="9" t="n"/>
      <c r="V205" s="9" t="n"/>
    </row>
    <row r="206" hidden="1" ht="13.5" customHeight="1">
      <c r="A206" s="679" t="n"/>
      <c r="B206" s="679" t="n"/>
      <c r="C206" s="679" t="n"/>
      <c r="D206" s="679" t="n"/>
      <c r="E206" s="679" t="n"/>
      <c r="F206" s="679" t="n"/>
      <c r="G206" s="589" t="inlineStr">
        <is>
          <t>使用量</t>
        </is>
      </c>
      <c r="H206" s="589" t="inlineStr">
        <is>
          <t>発生量</t>
        </is>
      </c>
      <c r="I206" s="589" t="inlineStr">
        <is>
          <t>搬出量</t>
        </is>
      </c>
      <c r="J206" s="677" t="inlineStr">
        <is>
          <t>返送汚泥</t>
        </is>
      </c>
      <c r="K206" s="641" t="n"/>
      <c r="L206" s="677" t="inlineStr">
        <is>
          <t>返送汚泥</t>
        </is>
      </c>
      <c r="M206" s="641" t="n"/>
      <c r="N206" s="128" t="n"/>
      <c r="O206" s="9" t="n"/>
      <c r="P206" s="9" t="n"/>
      <c r="Q206" s="9" t="n"/>
      <c r="R206" s="9" t="n"/>
      <c r="S206" s="9" t="n"/>
      <c r="T206" s="9" t="n"/>
      <c r="U206" s="9" t="n"/>
      <c r="V206" s="9" t="n"/>
    </row>
    <row r="207" hidden="1" ht="13.5" customHeight="1">
      <c r="A207" s="679" t="n"/>
      <c r="B207" s="679" t="n"/>
      <c r="C207" s="626" t="n"/>
      <c r="D207" s="626" t="n"/>
      <c r="E207" s="626" t="n"/>
      <c r="F207" s="626" t="n"/>
      <c r="G207" s="626" t="n"/>
      <c r="H207" s="626" t="n"/>
      <c r="I207" s="626" t="n"/>
      <c r="J207" s="627" t="inlineStr">
        <is>
          <t>流　　量</t>
        </is>
      </c>
      <c r="K207" s="591" t="n"/>
      <c r="L207" s="627" t="inlineStr">
        <is>
          <t>流　　量</t>
        </is>
      </c>
      <c r="M207" s="591" t="n"/>
      <c r="N207" s="128" t="n"/>
      <c r="O207" s="9" t="n"/>
      <c r="P207" s="9" t="n"/>
      <c r="Q207" s="9" t="n"/>
      <c r="R207" s="9" t="n"/>
      <c r="S207" s="9" t="n"/>
      <c r="T207" s="9" t="n"/>
      <c r="U207" s="9" t="n"/>
      <c r="V207" s="9" t="n"/>
    </row>
    <row r="208" hidden="1" ht="13.5" customHeight="1">
      <c r="A208" s="626" t="n"/>
      <c r="B208" s="626" t="n"/>
      <c r="C208" s="588" t="inlineStr">
        <is>
          <t>kwh</t>
        </is>
      </c>
      <c r="D208" s="588" t="inlineStr">
        <is>
          <t>kwh</t>
        </is>
      </c>
      <c r="E208" s="588" t="inlineStr">
        <is>
          <t>kvarh</t>
        </is>
      </c>
      <c r="F208" s="588" t="inlineStr">
        <is>
          <t>㎥</t>
        </is>
      </c>
      <c r="G208" s="588" t="inlineStr">
        <is>
          <t>kg</t>
        </is>
      </c>
      <c r="H208" s="588" t="inlineStr">
        <is>
          <t>ｔ</t>
        </is>
      </c>
      <c r="I208" s="588" t="inlineStr">
        <is>
          <t>ｔ</t>
        </is>
      </c>
      <c r="J208" s="588" t="inlineStr">
        <is>
          <t>㎥</t>
        </is>
      </c>
      <c r="K208" s="580" t="n"/>
      <c r="L208" s="588" t="inlineStr">
        <is>
          <t>㎥</t>
        </is>
      </c>
      <c r="M208" s="580" t="n"/>
      <c r="N208" s="128" t="n"/>
      <c r="O208" s="9" t="n"/>
      <c r="P208" s="9" t="n"/>
      <c r="Q208" s="9" t="n"/>
      <c r="R208" s="9" t="n"/>
      <c r="S208" s="9" t="n"/>
      <c r="T208" s="9" t="n"/>
      <c r="U208" s="9" t="n"/>
      <c r="V208" s="9" t="n"/>
    </row>
    <row r="209" hidden="1" ht="13.25" customHeight="1">
      <c r="A209" s="630" t="n">
        <v>1</v>
      </c>
      <c r="B209" s="588" t="inlineStr">
        <is>
          <t>金</t>
        </is>
      </c>
      <c r="C209" s="878" t="n">
        <v>881.8200000000001</v>
      </c>
      <c r="D209" s="878" t="n">
        <v>562.76</v>
      </c>
      <c r="E209" s="878" t="n">
        <v>2.3</v>
      </c>
      <c r="F209" s="887" t="n">
        <v>1044</v>
      </c>
      <c r="G209" s="588" t="n"/>
      <c r="H209" s="588" t="n"/>
      <c r="I209" s="588" t="n"/>
      <c r="J209" s="588" t="n">
        <v>617594</v>
      </c>
      <c r="K209" s="883">
        <f>J209-J198</f>
        <v/>
      </c>
      <c r="L209" s="588" t="n">
        <v>242704</v>
      </c>
      <c r="M209" s="883">
        <f>L209-L198</f>
        <v/>
      </c>
      <c r="N209" s="128" t="n"/>
      <c r="O209" s="9" t="n"/>
      <c r="P209" s="9" t="n"/>
      <c r="Q209" s="9" t="n"/>
      <c r="R209" s="9" t="n"/>
      <c r="S209" s="9" t="n"/>
      <c r="T209" s="9" t="n"/>
      <c r="U209" s="9" t="n"/>
      <c r="V209" s="9" t="n"/>
    </row>
    <row r="210" hidden="1" ht="13.25" customHeight="1">
      <c r="A210" s="630" t="n">
        <v>2</v>
      </c>
      <c r="B210" s="588" t="inlineStr">
        <is>
          <t>土</t>
        </is>
      </c>
      <c r="C210" s="878" t="n"/>
      <c r="D210" s="878" t="n"/>
      <c r="E210" s="878" t="n"/>
      <c r="F210" s="887" t="n"/>
      <c r="G210" s="588" t="n"/>
      <c r="H210" s="588" t="n"/>
      <c r="I210" s="588" t="n"/>
      <c r="J210" s="588" t="n"/>
      <c r="K210" s="883" t="n"/>
      <c r="L210" s="588" t="n"/>
      <c r="M210" s="883" t="n"/>
      <c r="N210" s="128" t="n"/>
      <c r="O210" s="9" t="n"/>
      <c r="P210" s="9" t="n"/>
      <c r="Q210" s="9" t="n"/>
      <c r="R210" s="9" t="n"/>
      <c r="S210" s="9" t="n"/>
      <c r="T210" s="9" t="n"/>
      <c r="U210" s="9" t="n"/>
      <c r="V210" s="9" t="n"/>
    </row>
    <row r="211" hidden="1" ht="13.25" customHeight="1">
      <c r="A211" s="630" t="n">
        <v>3</v>
      </c>
      <c r="B211" s="588" t="inlineStr">
        <is>
          <t>日</t>
        </is>
      </c>
      <c r="C211" s="878" t="n"/>
      <c r="D211" s="878" t="n"/>
      <c r="E211" s="879" t="n"/>
      <c r="F211" s="887" t="n"/>
      <c r="G211" s="128" t="n"/>
      <c r="H211" s="588" t="n"/>
      <c r="I211" s="588" t="n"/>
      <c r="J211" s="588" t="n"/>
      <c r="K211" s="883" t="n"/>
      <c r="L211" s="588" t="n"/>
      <c r="M211" s="883" t="n"/>
      <c r="N211" s="128" t="n"/>
      <c r="O211" s="9" t="n"/>
      <c r="P211" s="9" t="n"/>
      <c r="Q211" s="9" t="n"/>
      <c r="R211" s="9" t="n"/>
      <c r="S211" s="9" t="n"/>
      <c r="T211" s="9" t="n"/>
      <c r="U211" s="9" t="n"/>
      <c r="V211" s="9" t="n"/>
    </row>
    <row r="212" hidden="1" ht="13.25" customHeight="1">
      <c r="A212" s="630" t="n">
        <v>4</v>
      </c>
      <c r="B212" s="588" t="inlineStr">
        <is>
          <t>月</t>
        </is>
      </c>
      <c r="C212" s="878" t="n">
        <v>886.62</v>
      </c>
      <c r="D212" s="879" t="n">
        <v>565.88</v>
      </c>
      <c r="E212" s="879" t="n">
        <v>2.3</v>
      </c>
      <c r="F212" s="887" t="n">
        <v>1044</v>
      </c>
      <c r="G212" s="588" t="n">
        <v>15</v>
      </c>
      <c r="H212" s="880" t="n"/>
      <c r="I212" s="588" t="n"/>
      <c r="J212" s="588" t="n">
        <v>618063</v>
      </c>
      <c r="K212" s="883">
        <f>(J212-J209)/3</f>
        <v/>
      </c>
      <c r="L212" s="588" t="n">
        <v>243297</v>
      </c>
      <c r="M212" s="883">
        <f>(L212-L209)/3</f>
        <v/>
      </c>
      <c r="N212" s="128" t="n"/>
      <c r="O212" s="9" t="n"/>
      <c r="P212" s="9" t="n"/>
      <c r="Q212" s="9" t="n"/>
      <c r="R212" s="9" t="n"/>
      <c r="S212" s="9" t="n"/>
      <c r="T212" s="9" t="n"/>
      <c r="U212" s="9" t="n"/>
      <c r="V212" s="9" t="n"/>
    </row>
    <row r="213" hidden="1" ht="13.25" customHeight="1">
      <c r="A213" s="630" t="n">
        <v>5</v>
      </c>
      <c r="B213" s="588" t="inlineStr">
        <is>
          <t>火</t>
        </is>
      </c>
      <c r="C213" s="878" t="n">
        <v>888.26</v>
      </c>
      <c r="D213" s="879" t="n">
        <v>566.96</v>
      </c>
      <c r="E213" s="879" t="n">
        <v>2.3</v>
      </c>
      <c r="F213" s="887" t="n">
        <v>1044</v>
      </c>
      <c r="G213" s="588" t="n"/>
      <c r="H213" s="588" t="n"/>
      <c r="I213" s="880" t="n"/>
      <c r="J213" s="588" t="n">
        <v>618247</v>
      </c>
      <c r="K213" s="883">
        <f>J213-J212</f>
        <v/>
      </c>
      <c r="L213" s="588" t="n">
        <v>243438</v>
      </c>
      <c r="M213" s="883">
        <f>L213-L212</f>
        <v/>
      </c>
      <c r="N213" s="128" t="n"/>
      <c r="O213" s="9" t="n"/>
      <c r="P213" s="9" t="n"/>
      <c r="Q213" s="9" t="n"/>
      <c r="R213" s="9" t="n"/>
      <c r="S213" s="9" t="n"/>
      <c r="T213" s="9" t="n"/>
      <c r="U213" s="9" t="n"/>
      <c r="V213" s="9" t="n"/>
    </row>
    <row r="214" hidden="1" ht="13.25" customHeight="1">
      <c r="A214" s="630" t="n">
        <v>6</v>
      </c>
      <c r="B214" s="588" t="inlineStr">
        <is>
          <t>水</t>
        </is>
      </c>
      <c r="C214" s="878" t="n">
        <v>890.26</v>
      </c>
      <c r="D214" s="879" t="n">
        <v>568.28</v>
      </c>
      <c r="E214" s="879" t="n">
        <v>2.3</v>
      </c>
      <c r="F214" s="887" t="n">
        <v>1044</v>
      </c>
      <c r="G214" s="588" t="n"/>
      <c r="H214" s="588" t="n">
        <v>1.64</v>
      </c>
      <c r="I214" s="588" t="n"/>
      <c r="J214" s="588" t="n">
        <v>618429</v>
      </c>
      <c r="K214" s="883">
        <f>J214-J213</f>
        <v/>
      </c>
      <c r="L214" s="588" t="n">
        <v>243616</v>
      </c>
      <c r="M214" s="883">
        <f>L214-L213</f>
        <v/>
      </c>
      <c r="N214" s="128" t="n"/>
      <c r="O214" s="9" t="n"/>
      <c r="P214" s="9" t="n"/>
      <c r="Q214" s="9" t="n"/>
      <c r="R214" s="9" t="n"/>
      <c r="S214" s="9" t="n"/>
      <c r="T214" s="9" t="n"/>
      <c r="U214" s="9" t="n"/>
      <c r="V214" s="9" t="n"/>
    </row>
    <row r="215" hidden="1" ht="13.25" customHeight="1">
      <c r="A215" s="630" t="n">
        <v>7</v>
      </c>
      <c r="B215" s="588" t="inlineStr">
        <is>
          <t>木</t>
        </is>
      </c>
      <c r="C215" s="878" t="n">
        <v>892.26</v>
      </c>
      <c r="D215" s="879" t="n">
        <v>569.61</v>
      </c>
      <c r="E215" s="879" t="n">
        <v>2.3</v>
      </c>
      <c r="F215" s="887" t="n">
        <v>1044</v>
      </c>
      <c r="G215" s="588" t="n"/>
      <c r="H215" s="588" t="n"/>
      <c r="I215" s="588" t="n">
        <v>1.64</v>
      </c>
      <c r="J215" s="588" t="n">
        <v>618621</v>
      </c>
      <c r="K215" s="883">
        <f>J215-J214</f>
        <v/>
      </c>
      <c r="L215" s="588" t="n">
        <v>243812</v>
      </c>
      <c r="M215" s="883">
        <f>L215-L214</f>
        <v/>
      </c>
      <c r="N215" s="128" t="n"/>
      <c r="O215" s="9" t="n"/>
      <c r="P215" s="9" t="n"/>
      <c r="Q215" s="9" t="n"/>
      <c r="R215" s="9" t="n"/>
      <c r="S215" s="9" t="n"/>
      <c r="T215" s="9" t="n"/>
      <c r="U215" s="9" t="n"/>
      <c r="V215" s="9" t="n"/>
    </row>
    <row r="216" hidden="1" ht="13.25" customHeight="1">
      <c r="A216" s="630" t="n">
        <v>8</v>
      </c>
      <c r="B216" s="588" t="inlineStr">
        <is>
          <t>金</t>
        </is>
      </c>
      <c r="C216" s="879" t="n">
        <v>893.63</v>
      </c>
      <c r="D216" s="879" t="n">
        <v>570.4400000000001</v>
      </c>
      <c r="E216" s="879" t="n">
        <v>2.3</v>
      </c>
      <c r="F216" s="887" t="n">
        <v>1045</v>
      </c>
      <c r="G216" s="588" t="n"/>
      <c r="H216" s="588" t="n"/>
      <c r="I216" s="588" t="n"/>
      <c r="J216" s="588" t="n">
        <v>618816</v>
      </c>
      <c r="K216" s="883">
        <f>J216-J215</f>
        <v/>
      </c>
      <c r="L216" s="588" t="n">
        <v>243999</v>
      </c>
      <c r="M216" s="883">
        <f>L216-L215</f>
        <v/>
      </c>
      <c r="N216" s="128" t="n"/>
      <c r="O216" s="9" t="n"/>
      <c r="P216" s="9" t="n"/>
      <c r="Q216" s="9" t="n"/>
      <c r="R216" s="9" t="n"/>
      <c r="S216" s="9" t="n"/>
      <c r="T216" s="9" t="n"/>
      <c r="U216" s="9" t="n"/>
      <c r="V216" s="9" t="n"/>
    </row>
    <row r="217" hidden="1" ht="13.25" customHeight="1">
      <c r="A217" s="630" t="n">
        <v>9</v>
      </c>
      <c r="B217" s="588" t="inlineStr">
        <is>
          <t>土</t>
        </is>
      </c>
      <c r="C217" s="879" t="n"/>
      <c r="D217" s="879" t="n"/>
      <c r="E217" s="879" t="n"/>
      <c r="F217" s="887" t="n"/>
      <c r="G217" s="588" t="n"/>
      <c r="H217" s="588" t="n"/>
      <c r="I217" s="588" t="n"/>
      <c r="J217" s="588" t="n"/>
      <c r="K217" s="883" t="n"/>
      <c r="L217" s="588" t="n"/>
      <c r="M217" s="883" t="n"/>
      <c r="N217" s="128" t="n"/>
      <c r="O217" s="9" t="n"/>
      <c r="P217" s="9" t="n"/>
      <c r="Q217" s="9" t="n"/>
      <c r="R217" s="9" t="n"/>
      <c r="S217" s="9" t="n"/>
      <c r="T217" s="9" t="n"/>
      <c r="U217" s="9" t="n"/>
      <c r="V217" s="9" t="n"/>
    </row>
    <row r="218" hidden="1" ht="13.25" customHeight="1">
      <c r="A218" s="630" t="n">
        <v>10</v>
      </c>
      <c r="B218" s="588" t="inlineStr">
        <is>
          <t>日</t>
        </is>
      </c>
      <c r="C218" s="879" t="n"/>
      <c r="D218" s="879" t="n"/>
      <c r="E218" s="879" t="n"/>
      <c r="F218" s="888" t="n"/>
      <c r="G218" s="588" t="n"/>
      <c r="H218" s="588" t="n"/>
      <c r="I218" s="588" t="n"/>
      <c r="J218" s="588" t="n"/>
      <c r="K218" s="883" t="n"/>
      <c r="L218" s="588" t="n"/>
      <c r="M218" s="883" t="n"/>
      <c r="N218" s="128" t="n"/>
      <c r="O218" s="9" t="n"/>
      <c r="P218" s="9" t="n"/>
      <c r="Q218" s="9" t="n"/>
      <c r="R218" s="9" t="n"/>
      <c r="S218" s="9" t="n"/>
      <c r="T218" s="9" t="n"/>
      <c r="U218" s="9" t="n"/>
      <c r="V218" s="9" t="n"/>
    </row>
    <row r="219" hidden="1" ht="13.25" customHeight="1">
      <c r="A219" s="630" t="n">
        <v>11</v>
      </c>
      <c r="B219" s="588" t="inlineStr">
        <is>
          <t>月</t>
        </is>
      </c>
      <c r="C219" s="879" t="n">
        <v>898.46</v>
      </c>
      <c r="D219" s="879" t="n">
        <v>573.59</v>
      </c>
      <c r="E219" s="879" t="n">
        <v>2.3</v>
      </c>
      <c r="F219" s="888" t="n">
        <v>1045</v>
      </c>
      <c r="G219" s="588" t="n">
        <v>20</v>
      </c>
      <c r="H219" s="588" t="n"/>
      <c r="I219" s="588" t="n"/>
      <c r="J219" s="588" t="n">
        <v>619273</v>
      </c>
      <c r="K219" s="883">
        <f>(J219-J216)/3</f>
        <v/>
      </c>
      <c r="L219" s="588" t="n">
        <v>244533</v>
      </c>
      <c r="M219" s="883">
        <f>(L219-L216)/3</f>
        <v/>
      </c>
      <c r="N219" s="128" t="n"/>
      <c r="O219" s="9" t="n"/>
      <c r="P219" s="9" t="n"/>
      <c r="Q219" s="9" t="n"/>
      <c r="R219" s="9" t="n"/>
      <c r="S219" s="9" t="n"/>
      <c r="T219" s="9" t="n"/>
      <c r="U219" s="9" t="n"/>
      <c r="V219" s="9" t="n"/>
    </row>
    <row r="220" hidden="1" ht="13.25" customHeight="1">
      <c r="A220" s="630" t="n">
        <v>12</v>
      </c>
      <c r="B220" s="588" t="inlineStr">
        <is>
          <t>火</t>
        </is>
      </c>
      <c r="C220" s="879" t="n">
        <v>900.0599999999999</v>
      </c>
      <c r="D220" s="879" t="n">
        <v>574.63</v>
      </c>
      <c r="E220" s="879" t="n">
        <v>2.3</v>
      </c>
      <c r="F220" s="888" t="n">
        <v>1045</v>
      </c>
      <c r="G220" s="588" t="n"/>
      <c r="H220" s="588" t="n"/>
      <c r="I220" s="588" t="n"/>
      <c r="J220" s="588" t="n">
        <v>619519</v>
      </c>
      <c r="K220" s="883">
        <f>J220-J219</f>
        <v/>
      </c>
      <c r="L220" s="588" t="n">
        <v>244765</v>
      </c>
      <c r="M220" s="883">
        <f>L220-L219</f>
        <v/>
      </c>
      <c r="N220" s="128" t="n"/>
      <c r="O220" s="9" t="n"/>
      <c r="P220" s="9" t="n"/>
      <c r="Q220" s="9" t="n"/>
      <c r="R220" s="9" t="n"/>
      <c r="S220" s="9" t="n"/>
      <c r="T220" s="9" t="n"/>
      <c r="U220" s="9" t="n"/>
      <c r="V220" s="9" t="n"/>
    </row>
    <row r="221" hidden="1" ht="13.25" customHeight="1">
      <c r="A221" s="630" t="n">
        <v>13</v>
      </c>
      <c r="B221" s="588" t="inlineStr">
        <is>
          <t>水</t>
        </is>
      </c>
      <c r="C221" s="879" t="n">
        <v>902.04</v>
      </c>
      <c r="D221" s="879" t="n">
        <v>576</v>
      </c>
      <c r="E221" s="879" t="n">
        <v>2.33</v>
      </c>
      <c r="F221" s="888" t="n">
        <v>1045</v>
      </c>
      <c r="G221" s="588" t="n"/>
      <c r="H221" s="588" t="n">
        <v>1.44</v>
      </c>
      <c r="I221" s="588" t="n"/>
      <c r="J221" s="588" t="n">
        <v>619733</v>
      </c>
      <c r="K221" s="883">
        <f>J221-J220</f>
        <v/>
      </c>
      <c r="L221" s="588" t="n">
        <v>244923</v>
      </c>
      <c r="M221" s="883">
        <f>L221-L220</f>
        <v/>
      </c>
      <c r="N221" s="128" t="n"/>
      <c r="O221" s="9" t="n"/>
      <c r="P221" s="9" t="n"/>
      <c r="Q221" s="9" t="n"/>
      <c r="R221" s="9" t="n"/>
      <c r="S221" s="9" t="n"/>
      <c r="T221" s="9" t="n"/>
      <c r="U221" s="9" t="n"/>
      <c r="V221" s="9" t="n"/>
    </row>
    <row r="222" hidden="1" ht="13.25" customHeight="1">
      <c r="A222" s="630" t="n">
        <v>14</v>
      </c>
      <c r="B222" s="588" t="inlineStr">
        <is>
          <t>木</t>
        </is>
      </c>
      <c r="C222" s="879" t="n">
        <v>903.66</v>
      </c>
      <c r="D222" s="879" t="n">
        <v>577.11</v>
      </c>
      <c r="E222" s="879" t="n">
        <v>2.34</v>
      </c>
      <c r="F222" s="888" t="n">
        <v>1045</v>
      </c>
      <c r="G222" s="588" t="n"/>
      <c r="H222" s="588" t="n"/>
      <c r="I222" s="588" t="n">
        <v>1.44</v>
      </c>
      <c r="J222" s="588" t="n">
        <v>619928</v>
      </c>
      <c r="K222" s="883">
        <f>J222-J221</f>
        <v/>
      </c>
      <c r="L222" s="588" t="n">
        <v>245145</v>
      </c>
      <c r="M222" s="883">
        <f>L222-L221</f>
        <v/>
      </c>
      <c r="N222" s="128" t="n"/>
      <c r="O222" s="9" t="n"/>
      <c r="P222" s="9" t="n"/>
      <c r="Q222" s="9" t="n"/>
      <c r="R222" s="9" t="n"/>
      <c r="S222" s="9" t="n"/>
      <c r="T222" s="9" t="n"/>
      <c r="U222" s="9" t="n"/>
      <c r="V222" s="9" t="n"/>
    </row>
    <row r="223" hidden="1" ht="13.25" customHeight="1">
      <c r="A223" s="630" t="n">
        <v>15</v>
      </c>
      <c r="B223" s="588" t="inlineStr">
        <is>
          <t>金</t>
        </is>
      </c>
      <c r="C223" s="879" t="n">
        <v>905.28</v>
      </c>
      <c r="D223" s="879" t="n">
        <v>578.22</v>
      </c>
      <c r="E223" s="879" t="n">
        <v>2.34</v>
      </c>
      <c r="F223" s="888" t="n">
        <v>1045</v>
      </c>
      <c r="G223" s="588" t="n"/>
      <c r="H223" s="588" t="n"/>
      <c r="I223" s="588" t="n"/>
      <c r="J223" s="588" t="n">
        <v>620141</v>
      </c>
      <c r="K223" s="883">
        <f>J223-J222</f>
        <v/>
      </c>
      <c r="L223" s="588" t="n">
        <v>245395</v>
      </c>
      <c r="M223" s="883">
        <f>L223-L222</f>
        <v/>
      </c>
      <c r="N223" s="128" t="n"/>
      <c r="O223" s="9" t="n"/>
      <c r="P223" s="9" t="n"/>
      <c r="Q223" s="9" t="n"/>
      <c r="R223" s="9" t="n"/>
      <c r="S223" s="9" t="n"/>
      <c r="T223" s="9" t="n"/>
      <c r="U223" s="9" t="n"/>
      <c r="V223" s="9" t="n"/>
    </row>
    <row r="224" hidden="1" ht="13.25" customHeight="1">
      <c r="A224" s="630" t="n">
        <v>16</v>
      </c>
      <c r="B224" s="588" t="inlineStr">
        <is>
          <t>土</t>
        </is>
      </c>
      <c r="C224" s="879" t="n"/>
      <c r="D224" s="879" t="n"/>
      <c r="E224" s="879" t="n"/>
      <c r="F224" s="888" t="n"/>
      <c r="G224" s="588" t="n"/>
      <c r="H224" s="588" t="n"/>
      <c r="I224" s="588" t="n"/>
      <c r="J224" s="588" t="n"/>
      <c r="K224" s="883" t="n"/>
      <c r="L224" s="588" t="n"/>
      <c r="M224" s="883" t="n"/>
      <c r="N224" s="128" t="n"/>
      <c r="O224" s="9" t="n"/>
      <c r="P224" s="9" t="n"/>
      <c r="Q224" s="9" t="n"/>
      <c r="R224" s="9" t="n"/>
      <c r="S224" s="9" t="n"/>
      <c r="T224" s="9" t="n"/>
      <c r="U224" s="9" t="n"/>
      <c r="V224" s="9" t="n"/>
    </row>
    <row r="225" hidden="1" ht="13.25" customHeight="1">
      <c r="A225" s="630" t="n">
        <v>17</v>
      </c>
      <c r="B225" s="588" t="inlineStr">
        <is>
          <t>日</t>
        </is>
      </c>
      <c r="C225" s="879" t="n"/>
      <c r="D225" s="879" t="n"/>
      <c r="E225" s="879" t="n"/>
      <c r="F225" s="888" t="n"/>
      <c r="G225" s="588" t="n"/>
      <c r="H225" s="588" t="n"/>
      <c r="I225" s="588" t="n"/>
      <c r="J225" s="588" t="n"/>
      <c r="K225" s="883" t="n"/>
      <c r="L225" s="588" t="n"/>
      <c r="M225" s="883" t="n"/>
      <c r="N225" s="128" t="n"/>
      <c r="O225" s="9" t="n"/>
      <c r="P225" s="9" t="n"/>
      <c r="Q225" s="9" t="n"/>
      <c r="R225" s="9" t="n"/>
      <c r="S225" s="9" t="n"/>
      <c r="T225" s="9" t="n"/>
      <c r="U225" s="9" t="n"/>
      <c r="V225" s="9" t="n"/>
    </row>
    <row r="226" hidden="1" ht="13.25" customHeight="1">
      <c r="A226" s="630" t="n">
        <v>18</v>
      </c>
      <c r="B226" s="588" t="inlineStr">
        <is>
          <t>月</t>
        </is>
      </c>
      <c r="C226" s="879" t="n">
        <v>909.85</v>
      </c>
      <c r="D226" s="879" t="n">
        <v>581.2</v>
      </c>
      <c r="E226" s="879" t="n">
        <v>2.34</v>
      </c>
      <c r="F226" s="888" t="n">
        <v>1046</v>
      </c>
      <c r="G226" s="588" t="n">
        <v>20</v>
      </c>
      <c r="H226" s="588" t="n"/>
      <c r="I226" s="588" t="n"/>
      <c r="J226" s="588" t="n">
        <v>620579</v>
      </c>
      <c r="K226" s="883">
        <f>(J226-J223)/3</f>
        <v/>
      </c>
      <c r="L226" s="588" t="n">
        <v>246028</v>
      </c>
      <c r="M226" s="883">
        <f>(L226-L223)/3</f>
        <v/>
      </c>
      <c r="N226" s="128" t="n"/>
      <c r="O226" s="9" t="n"/>
      <c r="P226" s="9" t="n"/>
      <c r="Q226" s="9" t="n"/>
      <c r="R226" s="9" t="n"/>
      <c r="S226" s="9" t="n"/>
      <c r="T226" s="9" t="n"/>
      <c r="U226" s="9" t="n"/>
      <c r="V226" s="9" t="n"/>
    </row>
    <row r="227" hidden="1" ht="13.25" customHeight="1">
      <c r="A227" s="630" t="n">
        <v>19</v>
      </c>
      <c r="B227" s="588" t="inlineStr">
        <is>
          <t>火</t>
        </is>
      </c>
      <c r="C227" s="879" t="n">
        <v>911.5</v>
      </c>
      <c r="D227" s="879" t="n">
        <v>582.33</v>
      </c>
      <c r="E227" s="879" t="n">
        <v>2.34</v>
      </c>
      <c r="F227" s="888" t="n">
        <v>1046</v>
      </c>
      <c r="G227" s="588" t="n"/>
      <c r="H227" s="588" t="n"/>
      <c r="I227" s="588" t="n"/>
      <c r="J227" s="588" t="n">
        <v>620918</v>
      </c>
      <c r="K227" s="883">
        <f>J227-J226</f>
        <v/>
      </c>
      <c r="L227" s="588" t="n">
        <v>246261</v>
      </c>
      <c r="M227" s="883">
        <f>L227-L226</f>
        <v/>
      </c>
      <c r="N227" s="128" t="n"/>
      <c r="O227" s="9" t="n"/>
      <c r="P227" s="9" t="n"/>
      <c r="Q227" s="9" t="n"/>
      <c r="R227" s="9" t="n"/>
      <c r="S227" s="9" t="n"/>
      <c r="T227" s="9" t="n"/>
      <c r="U227" s="9" t="n"/>
      <c r="V227" s="9" t="n"/>
    </row>
    <row r="228" hidden="1" ht="13.25" customHeight="1">
      <c r="A228" s="630" t="n">
        <v>20</v>
      </c>
      <c r="B228" s="588" t="inlineStr">
        <is>
          <t>水</t>
        </is>
      </c>
      <c r="C228" s="879" t="n">
        <v>913.4</v>
      </c>
      <c r="D228" s="879" t="n">
        <v>583.73</v>
      </c>
      <c r="E228" s="879" t="n">
        <v>2.28</v>
      </c>
      <c r="F228" s="888" t="n">
        <v>1046</v>
      </c>
      <c r="G228" s="588" t="n"/>
      <c r="H228" s="588" t="n">
        <v>1.34</v>
      </c>
      <c r="I228" s="588" t="n"/>
      <c r="J228" s="588" t="n">
        <v>621120</v>
      </c>
      <c r="K228" s="883">
        <f>J228-J227</f>
        <v/>
      </c>
      <c r="L228" s="588" t="n">
        <v>246398</v>
      </c>
      <c r="M228" s="883">
        <f>L228-L227</f>
        <v/>
      </c>
      <c r="N228" s="128" t="n"/>
      <c r="O228" s="9" t="n"/>
      <c r="P228" s="9" t="n"/>
      <c r="Q228" s="9" t="n"/>
      <c r="R228" s="9" t="n"/>
      <c r="S228" s="9" t="n"/>
      <c r="T228" s="9" t="n"/>
      <c r="U228" s="9" t="n"/>
      <c r="V228" s="9" t="n"/>
    </row>
    <row r="229" hidden="1" ht="13.25" customHeight="1">
      <c r="A229" s="630" t="n">
        <v>21</v>
      </c>
      <c r="B229" s="588" t="inlineStr">
        <is>
          <t>木</t>
        </is>
      </c>
      <c r="C229" s="879" t="n">
        <v>915.22</v>
      </c>
      <c r="D229" s="879" t="n">
        <v>584.92</v>
      </c>
      <c r="E229" s="879" t="n">
        <v>2.38</v>
      </c>
      <c r="F229" s="888" t="n">
        <v>1046</v>
      </c>
      <c r="G229" s="588" t="n"/>
      <c r="H229" s="588" t="n"/>
      <c r="I229" s="588" t="n">
        <v>1.34</v>
      </c>
      <c r="J229" s="588" t="n">
        <v>621391</v>
      </c>
      <c r="K229" s="883">
        <f>J229-J228</f>
        <v/>
      </c>
      <c r="L229" s="588" t="n">
        <v>246649</v>
      </c>
      <c r="M229" s="883">
        <f>L229-L228</f>
        <v/>
      </c>
      <c r="N229" s="128" t="n"/>
      <c r="O229" s="9" t="n"/>
      <c r="P229" s="9" t="n"/>
      <c r="Q229" s="9" t="n"/>
      <c r="R229" s="9" t="n"/>
      <c r="S229" s="9" t="n"/>
      <c r="T229" s="9" t="n"/>
      <c r="U229" s="9" t="n"/>
      <c r="V229" s="9" t="n"/>
    </row>
    <row r="230" hidden="1" ht="13.25" customHeight="1">
      <c r="A230" s="630" t="n">
        <v>22</v>
      </c>
      <c r="B230" s="588" t="inlineStr">
        <is>
          <t>金</t>
        </is>
      </c>
      <c r="C230" s="879" t="n">
        <v>916.76</v>
      </c>
      <c r="D230" s="879" t="n">
        <v>585.92</v>
      </c>
      <c r="E230" s="879" t="n">
        <v>2.38</v>
      </c>
      <c r="F230" s="888" t="n">
        <v>1046</v>
      </c>
      <c r="G230" s="588" t="n"/>
      <c r="H230" s="588" t="n"/>
      <c r="I230" s="588" t="n"/>
      <c r="J230" s="588" t="n">
        <v>621619</v>
      </c>
      <c r="K230" s="883">
        <f>J230-J229</f>
        <v/>
      </c>
      <c r="L230" s="588" t="n">
        <v>246900</v>
      </c>
      <c r="M230" s="883">
        <f>L230-L229</f>
        <v/>
      </c>
      <c r="N230" s="128" t="n"/>
      <c r="O230" s="9" t="n"/>
      <c r="P230" s="9" t="n"/>
      <c r="Q230" s="9" t="n"/>
      <c r="R230" s="9" t="n"/>
      <c r="S230" s="9" t="n"/>
      <c r="T230" s="9" t="n"/>
      <c r="U230" s="9" t="n"/>
      <c r="V230" s="9" t="n"/>
    </row>
    <row r="231" hidden="1" ht="13.25" customHeight="1">
      <c r="A231" s="630" t="n">
        <v>23</v>
      </c>
      <c r="B231" s="588" t="inlineStr">
        <is>
          <t>土</t>
        </is>
      </c>
      <c r="C231" s="879" t="n"/>
      <c r="D231" s="879" t="n"/>
      <c r="E231" s="879" t="n"/>
      <c r="F231" s="888" t="n"/>
      <c r="G231" s="588" t="n"/>
      <c r="H231" s="588" t="n"/>
      <c r="I231" s="588" t="n"/>
      <c r="J231" s="588" t="n"/>
      <c r="K231" s="883" t="n"/>
      <c r="L231" s="588" t="n"/>
      <c r="M231" s="883" t="n"/>
      <c r="N231" s="128" t="n"/>
      <c r="O231" s="9" t="n"/>
      <c r="P231" s="9" t="n"/>
      <c r="Q231" s="9" t="n"/>
      <c r="R231" s="9" t="n"/>
      <c r="S231" s="9" t="n"/>
      <c r="T231" s="9" t="n"/>
      <c r="U231" s="9" t="n"/>
      <c r="V231" s="9" t="n"/>
    </row>
    <row r="232" hidden="1" ht="13.25" customHeight="1">
      <c r="A232" s="630" t="n">
        <v>24</v>
      </c>
      <c r="B232" s="588" t="inlineStr">
        <is>
          <t>日</t>
        </is>
      </c>
      <c r="C232" s="879" t="n"/>
      <c r="D232" s="879" t="n"/>
      <c r="E232" s="879" t="n"/>
      <c r="F232" s="888" t="n"/>
      <c r="G232" s="588" t="n"/>
      <c r="H232" s="588" t="n"/>
      <c r="I232" s="588" t="n"/>
      <c r="J232" s="588" t="n"/>
      <c r="K232" s="883" t="n"/>
      <c r="L232" s="588" t="n"/>
      <c r="M232" s="883" t="n"/>
      <c r="N232" s="128" t="n"/>
      <c r="O232" s="9" t="n"/>
      <c r="P232" s="9" t="n"/>
      <c r="Q232" s="9" t="n"/>
      <c r="R232" s="9" t="n"/>
      <c r="S232" s="9" t="n"/>
      <c r="T232" s="9" t="n"/>
      <c r="U232" s="9" t="n"/>
      <c r="V232" s="9" t="n"/>
    </row>
    <row r="233" hidden="1" ht="13.25" customHeight="1">
      <c r="A233" s="630" t="n">
        <v>25</v>
      </c>
      <c r="B233" s="588" t="inlineStr">
        <is>
          <t>月</t>
        </is>
      </c>
      <c r="C233" s="879" t="n">
        <v>921.92</v>
      </c>
      <c r="D233" s="879" t="n">
        <v>589.25</v>
      </c>
      <c r="E233" s="879" t="n">
        <v>2.38</v>
      </c>
      <c r="F233" s="888" t="n">
        <v>1046</v>
      </c>
      <c r="G233" s="588" t="n">
        <v>20</v>
      </c>
      <c r="H233" s="588" t="n"/>
      <c r="I233" s="588" t="n"/>
      <c r="J233" s="588" t="n">
        <v>622316</v>
      </c>
      <c r="K233" s="883">
        <f>(J233-J230)/3</f>
        <v/>
      </c>
      <c r="L233" s="588" t="n">
        <v>247540</v>
      </c>
      <c r="M233" s="883">
        <f>(L233-L230)/3</f>
        <v/>
      </c>
      <c r="N233" s="128" t="n"/>
      <c r="O233" s="9" t="n"/>
      <c r="P233" s="9" t="n"/>
      <c r="Q233" s="9" t="n"/>
      <c r="R233" s="9" t="n"/>
      <c r="S233" s="9" t="n"/>
      <c r="T233" s="9" t="n"/>
      <c r="U233" s="9" t="n"/>
      <c r="V233" s="9" t="n"/>
    </row>
    <row r="234" hidden="1" ht="13.25" customHeight="1">
      <c r="A234" s="630" t="n">
        <v>26</v>
      </c>
      <c r="B234" s="588" t="inlineStr">
        <is>
          <t>火</t>
        </is>
      </c>
      <c r="C234" s="879" t="n">
        <v>923.48</v>
      </c>
      <c r="D234" s="879" t="n">
        <v>590.22</v>
      </c>
      <c r="E234" s="879" t="n">
        <v>2.38</v>
      </c>
      <c r="F234" s="888" t="n">
        <v>1046</v>
      </c>
      <c r="G234" s="588" t="n"/>
      <c r="H234" s="588" t="n"/>
      <c r="I234" s="588" t="n"/>
      <c r="J234" s="588" t="n">
        <v>622539</v>
      </c>
      <c r="K234" s="883">
        <f>J234-J233</f>
        <v/>
      </c>
      <c r="L234" s="588" t="n">
        <v>247748</v>
      </c>
      <c r="M234" s="883">
        <f>L234-L233</f>
        <v/>
      </c>
      <c r="N234" s="128" t="n"/>
      <c r="O234" s="9" t="n"/>
      <c r="P234" s="9" t="n"/>
      <c r="Q234" s="9" t="n"/>
      <c r="R234" s="9" t="n"/>
      <c r="S234" s="9" t="n"/>
      <c r="T234" s="9" t="n"/>
      <c r="U234" s="9" t="n"/>
      <c r="V234" s="9" t="n"/>
    </row>
    <row r="235" hidden="1" ht="13.25" customHeight="1">
      <c r="A235" s="630" t="n">
        <v>27</v>
      </c>
      <c r="B235" s="588" t="inlineStr">
        <is>
          <t>水</t>
        </is>
      </c>
      <c r="C235" s="879" t="n">
        <v>925.71</v>
      </c>
      <c r="D235" s="879" t="n">
        <v>591.83</v>
      </c>
      <c r="E235" s="879" t="n">
        <v>2.41</v>
      </c>
      <c r="F235" s="888" t="n">
        <v>1047</v>
      </c>
      <c r="G235" s="588" t="n"/>
      <c r="H235" s="588" t="n">
        <v>1.25</v>
      </c>
      <c r="I235" s="588" t="n"/>
      <c r="J235" s="588" t="n">
        <v>622764</v>
      </c>
      <c r="K235" s="883">
        <f>J235-J234</f>
        <v/>
      </c>
      <c r="L235" s="588" t="n">
        <v>247968</v>
      </c>
      <c r="M235" s="883">
        <f>L235-L234</f>
        <v/>
      </c>
      <c r="N235" s="128" t="n"/>
      <c r="O235" s="9" t="n"/>
      <c r="P235" s="9" t="n"/>
      <c r="Q235" s="9" t="n"/>
      <c r="R235" s="9" t="n"/>
      <c r="S235" s="9" t="n"/>
      <c r="T235" s="9" t="n"/>
      <c r="U235" s="9" t="n"/>
      <c r="V235" s="9" t="n"/>
    </row>
    <row r="236" hidden="1" ht="13.25" customHeight="1">
      <c r="A236" s="630" t="n">
        <v>28</v>
      </c>
      <c r="B236" s="588" t="inlineStr">
        <is>
          <t>木</t>
        </is>
      </c>
      <c r="C236" s="879" t="n">
        <v>927.46</v>
      </c>
      <c r="D236" s="879" t="n">
        <v>592.98</v>
      </c>
      <c r="E236" s="879" t="n">
        <v>2.41</v>
      </c>
      <c r="F236" s="888" t="n">
        <v>1047</v>
      </c>
      <c r="G236" s="588" t="n"/>
      <c r="H236" s="588" t="n"/>
      <c r="I236" s="588" t="n">
        <v>1.25</v>
      </c>
      <c r="J236" s="588" t="n">
        <v>622985</v>
      </c>
      <c r="K236" s="883">
        <f>J236-J235</f>
        <v/>
      </c>
      <c r="L236" s="588" t="n">
        <v>248191</v>
      </c>
      <c r="M236" s="883">
        <f>L236-L235</f>
        <v/>
      </c>
      <c r="N236" s="128" t="n"/>
      <c r="O236" s="9" t="n"/>
      <c r="P236" s="9" t="n"/>
      <c r="Q236" s="9" t="n"/>
      <c r="R236" s="9" t="n"/>
      <c r="S236" s="9" t="n"/>
      <c r="T236" s="9" t="n"/>
      <c r="U236" s="9" t="n"/>
      <c r="V236" s="9" t="n"/>
    </row>
    <row r="237" hidden="1" ht="13.25" customHeight="1">
      <c r="A237" s="630" t="n">
        <v>29</v>
      </c>
      <c r="B237" s="588" t="inlineStr">
        <is>
          <t>金</t>
        </is>
      </c>
      <c r="C237" s="879" t="n">
        <v>929.1799999999999</v>
      </c>
      <c r="D237" s="879" t="n">
        <v>594.09</v>
      </c>
      <c r="E237" s="879" t="n">
        <v>2.41</v>
      </c>
      <c r="F237" s="888" t="n">
        <v>1047</v>
      </c>
      <c r="G237" s="588" t="n"/>
      <c r="H237" s="588" t="n"/>
      <c r="I237" s="588" t="n"/>
      <c r="J237" s="588" t="n">
        <v>623179</v>
      </c>
      <c r="K237" s="588" t="n">
        <v>194</v>
      </c>
      <c r="L237" s="588" t="n">
        <v>248433</v>
      </c>
      <c r="M237" s="588" t="n">
        <v>242</v>
      </c>
      <c r="N237" s="128" t="n"/>
      <c r="O237" s="9" t="n"/>
      <c r="P237" s="9" t="n"/>
      <c r="Q237" s="9" t="n"/>
      <c r="R237" s="9" t="n"/>
      <c r="S237" s="9" t="n"/>
      <c r="T237" s="9" t="n"/>
      <c r="U237" s="9" t="n"/>
      <c r="V237" s="9" t="n"/>
    </row>
    <row r="238" hidden="1" ht="13.25" customHeight="1">
      <c r="A238" s="630" t="n">
        <v>30</v>
      </c>
      <c r="B238" s="588" t="inlineStr">
        <is>
          <t>土</t>
        </is>
      </c>
      <c r="C238" s="879" t="n"/>
      <c r="D238" s="879" t="n"/>
      <c r="E238" s="879" t="n"/>
      <c r="F238" s="888" t="n"/>
      <c r="G238" s="588" t="n"/>
      <c r="H238" s="588" t="n"/>
      <c r="I238" s="588" t="n"/>
      <c r="J238" s="588" t="n"/>
      <c r="K238" s="588" t="n"/>
      <c r="L238" s="588" t="n"/>
      <c r="M238" s="588" t="n"/>
      <c r="N238" s="128" t="n"/>
      <c r="O238" s="9" t="n"/>
      <c r="P238" s="9" t="n"/>
      <c r="Q238" s="9" t="n"/>
      <c r="R238" s="9" t="n"/>
      <c r="S238" s="9" t="n"/>
      <c r="T238" s="9" t="n"/>
      <c r="U238" s="9" t="n"/>
      <c r="V238" s="9" t="n"/>
    </row>
    <row r="239" hidden="1" ht="13.25" customHeight="1">
      <c r="A239" s="630" t="n">
        <v>31</v>
      </c>
      <c r="B239" s="588" t="inlineStr">
        <is>
          <t>日</t>
        </is>
      </c>
      <c r="C239" s="879" t="n"/>
      <c r="D239" s="879" t="n"/>
      <c r="E239" s="879" t="n"/>
      <c r="F239" s="888" t="n"/>
      <c r="G239" s="588" t="n"/>
      <c r="H239" s="588" t="n"/>
      <c r="I239" s="588" t="n"/>
      <c r="J239" s="588" t="n"/>
      <c r="K239" s="588" t="n"/>
      <c r="L239" s="588" t="n"/>
      <c r="M239" s="588" t="n"/>
      <c r="N239" s="128" t="n"/>
      <c r="O239" s="9" t="n"/>
      <c r="P239" s="9" t="n"/>
      <c r="Q239" s="9" t="n"/>
      <c r="R239" s="9" t="n"/>
      <c r="S239" s="9" t="n"/>
      <c r="T239" s="9" t="n"/>
      <c r="U239" s="9" t="n"/>
      <c r="V239" s="9" t="n"/>
    </row>
    <row r="240" hidden="1" ht="13.25" customHeight="1">
      <c r="A240" s="589" t="inlineStr">
        <is>
          <t>最大</t>
        </is>
      </c>
      <c r="B240" s="580" t="n"/>
      <c r="C240" s="176" t="inlineStr">
        <is>
          <t>-</t>
        </is>
      </c>
      <c r="D240" s="176" t="inlineStr">
        <is>
          <t>-</t>
        </is>
      </c>
      <c r="E240" s="176" t="inlineStr">
        <is>
          <t>-</t>
        </is>
      </c>
      <c r="F240" s="176" t="inlineStr">
        <is>
          <t>-</t>
        </is>
      </c>
      <c r="G240" s="883">
        <f>MAX(G212,G219,G226,G233)</f>
        <v/>
      </c>
      <c r="H240" s="878">
        <f>MAX(H214,H221,H228,H235)</f>
        <v/>
      </c>
      <c r="I240" s="878" t="n">
        <v>1.64</v>
      </c>
      <c r="J240" s="176" t="inlineStr">
        <is>
          <t>-</t>
        </is>
      </c>
      <c r="K240" s="883">
        <f>MAX(K209,K212:K216,K219:K223,K226:K230,K233:K237)</f>
        <v/>
      </c>
      <c r="L240" s="176" t="inlineStr">
        <is>
          <t>-</t>
        </is>
      </c>
      <c r="M240" s="883">
        <f>MAX(M209,M212:M216,M219:M223,M226:M230,M233:M237)</f>
        <v/>
      </c>
      <c r="N240" s="128" t="n"/>
      <c r="O240" s="9" t="n"/>
      <c r="P240" s="9" t="n"/>
      <c r="Q240" s="9" t="n"/>
      <c r="R240" s="9" t="n"/>
      <c r="S240" s="9" t="n"/>
      <c r="T240" s="9" t="n"/>
      <c r="U240" s="9" t="n"/>
      <c r="V240" s="9" t="n"/>
    </row>
    <row r="241" hidden="1" ht="13.25" customHeight="1">
      <c r="A241" s="589" t="inlineStr">
        <is>
          <t>平均</t>
        </is>
      </c>
      <c r="B241" s="580" t="n"/>
      <c r="C241" s="176" t="inlineStr">
        <is>
          <t>-</t>
        </is>
      </c>
      <c r="D241" s="176" t="inlineStr">
        <is>
          <t>-</t>
        </is>
      </c>
      <c r="E241" s="176" t="inlineStr">
        <is>
          <t>-</t>
        </is>
      </c>
      <c r="F241" s="176" t="inlineStr">
        <is>
          <t>-</t>
        </is>
      </c>
      <c r="G241" s="883">
        <f>AVERAGE(G212,G219,G226,G233)</f>
        <v/>
      </c>
      <c r="H241" s="878">
        <f>AVERAGE(H214,H221,H228,H235)</f>
        <v/>
      </c>
      <c r="I241" s="878" t="n">
        <v>1.42</v>
      </c>
      <c r="J241" s="176" t="inlineStr">
        <is>
          <t>-</t>
        </is>
      </c>
      <c r="K241" s="883">
        <f>AVERAGE(K209,K212:K216,K219:K223,K226:K230,K233:K237)</f>
        <v/>
      </c>
      <c r="L241" s="176" t="inlineStr">
        <is>
          <t>-</t>
        </is>
      </c>
      <c r="M241" s="883">
        <f>AVERAGE(M209,M212:M216,M219:M223,M226:M230,M233:M237)</f>
        <v/>
      </c>
      <c r="N241" s="128" t="n"/>
      <c r="O241" s="9" t="n"/>
      <c r="P241" s="9" t="n"/>
      <c r="Q241" s="9" t="n"/>
      <c r="R241" s="9" t="n"/>
      <c r="S241" s="9" t="n"/>
      <c r="T241" s="9" t="n"/>
      <c r="U241" s="9" t="n"/>
      <c r="V241" s="9" t="n"/>
    </row>
    <row r="242" hidden="1" ht="13.25" customHeight="1">
      <c r="A242" s="589" t="inlineStr">
        <is>
          <t>最小</t>
        </is>
      </c>
      <c r="B242" s="580" t="n"/>
      <c r="C242" s="176" t="inlineStr">
        <is>
          <t>-</t>
        </is>
      </c>
      <c r="D242" s="176" t="inlineStr">
        <is>
          <t>-</t>
        </is>
      </c>
      <c r="E242" s="176" t="inlineStr">
        <is>
          <t>-</t>
        </is>
      </c>
      <c r="F242" s="176" t="inlineStr">
        <is>
          <t>-</t>
        </is>
      </c>
      <c r="G242" s="883">
        <f>MIN(G212,G219,G226:G227,G233)</f>
        <v/>
      </c>
      <c r="H242" s="878">
        <f>MIN(H214,H221,H228,H235)</f>
        <v/>
      </c>
      <c r="I242" s="878" t="n">
        <v>1.25</v>
      </c>
      <c r="J242" s="176" t="inlineStr">
        <is>
          <t>-</t>
        </is>
      </c>
      <c r="K242" s="883">
        <f>MIN(K209,K212:K216,K219:K223,K226:K230,K233:K237)</f>
        <v/>
      </c>
      <c r="L242" s="176" t="inlineStr">
        <is>
          <t>-</t>
        </is>
      </c>
      <c r="M242" s="883">
        <f>MIN(M209,M212:M216,M219:M223,M226:M230,M233:M237)</f>
        <v/>
      </c>
      <c r="N242" s="128" t="n"/>
      <c r="O242" s="9" t="n"/>
      <c r="P242" s="9" t="n"/>
      <c r="Q242" s="9" t="n"/>
      <c r="R242" s="9" t="n"/>
      <c r="S242" s="9" t="n"/>
      <c r="T242" s="9" t="n"/>
      <c r="U242" s="9" t="n"/>
      <c r="V242" s="9" t="n"/>
    </row>
    <row r="243" hidden="1" ht="13.25" customHeight="1">
      <c r="A243" s="589" t="inlineStr">
        <is>
          <t>合計</t>
        </is>
      </c>
      <c r="B243" s="580" t="n"/>
      <c r="C243" s="176" t="n"/>
      <c r="D243" s="176" t="inlineStr">
        <is>
          <t>-</t>
        </is>
      </c>
      <c r="E243" s="176" t="inlineStr">
        <is>
          <t>-</t>
        </is>
      </c>
      <c r="F243" s="176" t="inlineStr">
        <is>
          <t>-</t>
        </is>
      </c>
      <c r="G243" s="883">
        <f>SUM(G212,G219,G226,G233)</f>
        <v/>
      </c>
      <c r="H243" s="878">
        <f>SUM(H214,H221,H228,H235)</f>
        <v/>
      </c>
      <c r="I243" s="878" t="n">
        <v>5.67</v>
      </c>
      <c r="J243" s="176" t="inlineStr">
        <is>
          <t>-</t>
        </is>
      </c>
      <c r="K243" s="883">
        <f>SUM(K209,K212:K216,K219:K223,K226:K230,K233:K237)</f>
        <v/>
      </c>
      <c r="L243" s="176" t="inlineStr">
        <is>
          <t>-</t>
        </is>
      </c>
      <c r="M243" s="883">
        <f>SUM(M209,M212:M216,M219:M223,M226:M230,M233:M237)</f>
        <v/>
      </c>
      <c r="N243" s="128" t="n"/>
      <c r="O243" s="9" t="n"/>
      <c r="P243" s="9" t="n"/>
      <c r="Q243" s="9" t="n"/>
      <c r="R243" s="9" t="n"/>
      <c r="S243" s="9" t="n"/>
      <c r="T243" s="9" t="n"/>
      <c r="U243" s="9" t="n"/>
      <c r="V243" s="9" t="n"/>
    </row>
    <row r="244" hidden="1" ht="30" customHeight="1">
      <c r="A244" s="127" t="inlineStr">
        <is>
          <t xml:space="preserve">　吉和水質管理センター運転管理月報</t>
        </is>
      </c>
      <c r="B244" s="128" t="n"/>
      <c r="C244" s="128" t="n"/>
      <c r="D244" s="128" t="n"/>
      <c r="E244" s="128" t="n"/>
      <c r="F244" s="128" t="n"/>
      <c r="G244" s="128" t="n"/>
      <c r="H244" s="128" t="n"/>
      <c r="I244" s="128" t="n"/>
      <c r="J244" s="676" t="inlineStr">
        <is>
          <t xml:space="preserve">　　　　　　　　平成1９年1月分</t>
        </is>
      </c>
      <c r="K244" s="598" t="n"/>
      <c r="L244" s="598" t="n"/>
      <c r="M244" s="598" t="n"/>
      <c r="N244" s="128" t="n"/>
      <c r="O244" s="9" t="n"/>
      <c r="P244" s="9" t="n"/>
      <c r="Q244" s="9" t="n"/>
      <c r="R244" s="9" t="n"/>
      <c r="S244" s="9" t="n"/>
      <c r="T244" s="9" t="n"/>
      <c r="U244" s="9" t="n"/>
      <c r="V244" s="9" t="n"/>
    </row>
    <row r="245" hidden="1" ht="13.5" customHeight="1">
      <c r="A245" s="678" t="inlineStr">
        <is>
          <t>日付</t>
        </is>
      </c>
      <c r="B245" s="678" t="inlineStr">
        <is>
          <t>曜日</t>
        </is>
      </c>
      <c r="C245" s="680" t="inlineStr">
        <is>
          <t>全日電力量読み値</t>
        </is>
      </c>
      <c r="D245" s="680" t="inlineStr">
        <is>
          <t>力測電力量読み値</t>
        </is>
      </c>
      <c r="E245" s="680" t="inlineStr">
        <is>
          <t>無効電力量読み値</t>
        </is>
      </c>
      <c r="F245" s="680" t="inlineStr">
        <is>
          <t>上水使用量読み値</t>
        </is>
      </c>
      <c r="G245" s="589" t="inlineStr">
        <is>
          <t>固形塩素</t>
        </is>
      </c>
      <c r="H245" s="589" t="inlineStr">
        <is>
          <t>脱水ケーキ</t>
        </is>
      </c>
      <c r="I245" s="580" t="n"/>
      <c r="J245" s="683" t="inlineStr">
        <is>
          <t>No.1</t>
        </is>
      </c>
      <c r="K245" s="587" t="n"/>
      <c r="L245" s="683" t="inlineStr">
        <is>
          <t>No.2</t>
        </is>
      </c>
      <c r="M245" s="587" t="n"/>
      <c r="N245" s="128" t="n"/>
      <c r="O245" s="9" t="n"/>
      <c r="P245" s="9" t="n"/>
      <c r="Q245" s="9" t="n"/>
      <c r="R245" s="9" t="n"/>
      <c r="S245" s="9" t="n"/>
      <c r="T245" s="9" t="n"/>
      <c r="U245" s="9" t="n"/>
      <c r="V245" s="9" t="n"/>
    </row>
    <row r="246" hidden="1" ht="13.5" customHeight="1">
      <c r="A246" s="679" t="n"/>
      <c r="B246" s="679" t="n"/>
      <c r="C246" s="679" t="n"/>
      <c r="D246" s="679" t="n"/>
      <c r="E246" s="679" t="n"/>
      <c r="F246" s="679" t="n"/>
      <c r="G246" s="589" t="inlineStr">
        <is>
          <t>使用量</t>
        </is>
      </c>
      <c r="H246" s="589" t="inlineStr">
        <is>
          <t>発生量</t>
        </is>
      </c>
      <c r="I246" s="589" t="inlineStr">
        <is>
          <t>搬出量</t>
        </is>
      </c>
      <c r="J246" s="677" t="inlineStr">
        <is>
          <t>返送汚泥</t>
        </is>
      </c>
      <c r="K246" s="641" t="n"/>
      <c r="L246" s="677" t="inlineStr">
        <is>
          <t>返送汚泥</t>
        </is>
      </c>
      <c r="M246" s="641" t="n"/>
      <c r="N246" s="128" t="n"/>
      <c r="O246" s="9" t="n"/>
      <c r="P246" s="9" t="n"/>
      <c r="Q246" s="9" t="n"/>
      <c r="R246" s="9" t="n"/>
      <c r="S246" s="9" t="n"/>
      <c r="T246" s="9" t="n"/>
      <c r="U246" s="9" t="n"/>
      <c r="V246" s="9" t="n"/>
    </row>
    <row r="247" hidden="1" ht="13.5" customHeight="1">
      <c r="A247" s="679" t="n"/>
      <c r="B247" s="679" t="n"/>
      <c r="C247" s="626" t="n"/>
      <c r="D247" s="626" t="n"/>
      <c r="E247" s="626" t="n"/>
      <c r="F247" s="626" t="n"/>
      <c r="G247" s="626" t="n"/>
      <c r="H247" s="626" t="n"/>
      <c r="I247" s="626" t="n"/>
      <c r="J247" s="627" t="inlineStr">
        <is>
          <t>流　　量</t>
        </is>
      </c>
      <c r="K247" s="591" t="n"/>
      <c r="L247" s="627" t="inlineStr">
        <is>
          <t>流　　量</t>
        </is>
      </c>
      <c r="M247" s="591" t="n"/>
      <c r="N247" s="128" t="n"/>
      <c r="O247" s="9" t="n"/>
      <c r="P247" s="9" t="n"/>
      <c r="Q247" s="9" t="n"/>
      <c r="R247" s="9" t="n"/>
      <c r="S247" s="9" t="n"/>
      <c r="T247" s="9" t="n"/>
      <c r="U247" s="9" t="n"/>
      <c r="V247" s="9" t="n"/>
    </row>
    <row r="248" hidden="1" ht="13.5" customHeight="1">
      <c r="A248" s="626" t="n"/>
      <c r="B248" s="626" t="n"/>
      <c r="C248" s="588" t="inlineStr">
        <is>
          <t>kwh</t>
        </is>
      </c>
      <c r="D248" s="588" t="inlineStr">
        <is>
          <t>kwh</t>
        </is>
      </c>
      <c r="E248" s="588" t="inlineStr">
        <is>
          <t>kvarh</t>
        </is>
      </c>
      <c r="F248" s="588" t="inlineStr">
        <is>
          <t>㎥</t>
        </is>
      </c>
      <c r="G248" s="588" t="inlineStr">
        <is>
          <t>kg</t>
        </is>
      </c>
      <c r="H248" s="588" t="inlineStr">
        <is>
          <t>ｔ</t>
        </is>
      </c>
      <c r="I248" s="588" t="inlineStr">
        <is>
          <t>ｔ</t>
        </is>
      </c>
      <c r="J248" s="588" t="inlineStr">
        <is>
          <t>㎥</t>
        </is>
      </c>
      <c r="K248" s="580" t="n"/>
      <c r="L248" s="588" t="inlineStr">
        <is>
          <t>㎥</t>
        </is>
      </c>
      <c r="M248" s="580" t="n"/>
      <c r="N248" s="128" t="n"/>
      <c r="O248" s="9" t="n"/>
      <c r="P248" s="9" t="n"/>
      <c r="Q248" s="9" t="n"/>
      <c r="R248" s="9" t="n"/>
      <c r="S248" s="9" t="n"/>
      <c r="T248" s="9" t="n"/>
      <c r="U248" s="9" t="n"/>
      <c r="V248" s="9" t="n"/>
    </row>
    <row r="249" hidden="1" ht="13.25" customHeight="1">
      <c r="A249" s="630" t="n">
        <v>1</v>
      </c>
      <c r="B249" s="588" t="inlineStr">
        <is>
          <t>月</t>
        </is>
      </c>
      <c r="C249" s="878" t="n"/>
      <c r="D249" s="878" t="n"/>
      <c r="E249" s="878" t="n"/>
      <c r="F249" s="887" t="n"/>
      <c r="G249" s="588" t="n"/>
      <c r="H249" s="588" t="n"/>
      <c r="I249" s="588" t="n"/>
      <c r="J249" s="588" t="n"/>
      <c r="K249" s="883" t="n"/>
      <c r="L249" s="588" t="n"/>
      <c r="M249" s="883" t="n"/>
      <c r="N249" s="128" t="n"/>
      <c r="O249" s="9" t="n"/>
      <c r="P249" s="9" t="n"/>
      <c r="Q249" s="9" t="n"/>
      <c r="R249" s="9" t="n"/>
      <c r="S249" s="9" t="n"/>
      <c r="T249" s="9" t="n"/>
      <c r="U249" s="9" t="n"/>
      <c r="V249" s="9" t="n"/>
    </row>
    <row r="250" hidden="1" ht="13.25" customHeight="1">
      <c r="A250" s="630" t="n">
        <v>2</v>
      </c>
      <c r="B250" s="588" t="inlineStr">
        <is>
          <t>火</t>
        </is>
      </c>
      <c r="C250" s="878" t="n"/>
      <c r="D250" s="878" t="n"/>
      <c r="E250" s="878" t="n"/>
      <c r="F250" s="887" t="n"/>
      <c r="G250" s="588" t="n"/>
      <c r="H250" s="588" t="n"/>
      <c r="I250" s="588" t="n"/>
      <c r="J250" s="588" t="n"/>
      <c r="K250" s="883" t="n"/>
      <c r="L250" s="588" t="n"/>
      <c r="M250" s="883" t="n"/>
      <c r="N250" s="128" t="n"/>
      <c r="O250" s="9" t="n"/>
      <c r="P250" s="9" t="n"/>
      <c r="Q250" s="9" t="n"/>
      <c r="R250" s="9" t="n"/>
      <c r="S250" s="9" t="n"/>
      <c r="T250" s="9" t="n"/>
      <c r="U250" s="9" t="n"/>
      <c r="V250" s="9" t="n"/>
    </row>
    <row r="251" hidden="1" ht="13.25" customHeight="1">
      <c r="A251" s="630" t="n">
        <v>3</v>
      </c>
      <c r="B251" s="588" t="inlineStr">
        <is>
          <t>水</t>
        </is>
      </c>
      <c r="C251" s="878" t="n"/>
      <c r="D251" s="878" t="n"/>
      <c r="E251" s="879" t="n"/>
      <c r="F251" s="887" t="n"/>
      <c r="G251" s="128" t="n"/>
      <c r="H251" s="588" t="n"/>
      <c r="I251" s="588" t="n"/>
      <c r="J251" s="588" t="n"/>
      <c r="K251" s="883" t="n"/>
      <c r="L251" s="588" t="n"/>
      <c r="M251" s="883" t="n"/>
      <c r="N251" s="128" t="n"/>
      <c r="O251" s="9" t="n"/>
      <c r="P251" s="9" t="n"/>
      <c r="Q251" s="9" t="n"/>
      <c r="R251" s="9" t="n"/>
      <c r="S251" s="9" t="n"/>
      <c r="T251" s="9" t="n"/>
      <c r="U251" s="9" t="n"/>
      <c r="V251" s="9" t="n"/>
    </row>
    <row r="252" hidden="1" ht="13.25" customHeight="1">
      <c r="A252" s="630" t="n">
        <v>4</v>
      </c>
      <c r="B252" s="588" t="inlineStr">
        <is>
          <t>木</t>
        </is>
      </c>
      <c r="C252" s="878" t="n">
        <v>939.9</v>
      </c>
      <c r="D252" s="879" t="n">
        <v>600.88</v>
      </c>
      <c r="E252" s="879" t="n">
        <v>2.41</v>
      </c>
      <c r="F252" s="887" t="n">
        <v>1047</v>
      </c>
      <c r="G252" s="588" t="n"/>
      <c r="H252" s="880" t="n"/>
      <c r="I252" s="588" t="n"/>
      <c r="J252" s="588" t="n">
        <v>624666</v>
      </c>
      <c r="K252" s="883">
        <f>(J252-J237)/6</f>
        <v/>
      </c>
      <c r="L252" s="588" t="n">
        <v>249727</v>
      </c>
      <c r="M252" s="883">
        <f>(L252-L237)/6</f>
        <v/>
      </c>
      <c r="N252" s="128" t="n"/>
      <c r="O252" s="9" t="n"/>
      <c r="P252" s="9" t="n"/>
      <c r="Q252" s="9" t="n"/>
      <c r="R252" s="9" t="n"/>
      <c r="S252" s="9" t="n"/>
      <c r="T252" s="9" t="n"/>
      <c r="U252" s="9" t="n"/>
      <c r="V252" s="9" t="n"/>
    </row>
    <row r="253" hidden="1" ht="13.25" customHeight="1">
      <c r="A253" s="630" t="n">
        <v>5</v>
      </c>
      <c r="B253" s="588" t="inlineStr">
        <is>
          <t>金</t>
        </is>
      </c>
      <c r="C253" s="878" t="n">
        <v>941.91</v>
      </c>
      <c r="D253" s="879" t="n">
        <v>602.24</v>
      </c>
      <c r="E253" s="879" t="n">
        <v>2.41</v>
      </c>
      <c r="F253" s="887" t="n">
        <v>1047</v>
      </c>
      <c r="G253" s="588" t="n">
        <v>20</v>
      </c>
      <c r="H253" s="588" t="n"/>
      <c r="I253" s="880" t="n"/>
      <c r="J253" s="588" t="n">
        <v>624924</v>
      </c>
      <c r="K253" s="883">
        <f>J253-J252</f>
        <v/>
      </c>
      <c r="L253" s="588" t="n">
        <v>249892</v>
      </c>
      <c r="M253" s="883">
        <f>L253-L252</f>
        <v/>
      </c>
      <c r="N253" s="128" t="n"/>
      <c r="O253" s="9" t="n"/>
      <c r="P253" s="9" t="n"/>
      <c r="Q253" s="9" t="n"/>
      <c r="R253" s="9" t="n"/>
      <c r="S253" s="9" t="n"/>
      <c r="T253" s="9" t="n"/>
      <c r="U253" s="9" t="n"/>
      <c r="V253" s="9" t="n"/>
    </row>
    <row r="254" hidden="1" ht="13.25" customHeight="1">
      <c r="A254" s="630" t="n">
        <v>6</v>
      </c>
      <c r="B254" s="588" t="inlineStr">
        <is>
          <t>土</t>
        </is>
      </c>
      <c r="C254" s="878" t="n"/>
      <c r="D254" s="879" t="n"/>
      <c r="E254" s="879" t="n"/>
      <c r="F254" s="887" t="n"/>
      <c r="G254" s="588" t="n"/>
      <c r="H254" s="588" t="n"/>
      <c r="I254" s="588" t="n"/>
      <c r="J254" s="588" t="n"/>
      <c r="K254" s="883" t="n"/>
      <c r="L254" s="588" t="n"/>
      <c r="M254" s="883" t="n"/>
      <c r="N254" s="128" t="n"/>
      <c r="O254" s="9" t="n"/>
      <c r="P254" s="9" t="n"/>
      <c r="Q254" s="9" t="n"/>
      <c r="R254" s="9" t="n"/>
      <c r="S254" s="9" t="n"/>
      <c r="T254" s="9" t="n"/>
      <c r="U254" s="9" t="n"/>
      <c r="V254" s="9" t="n"/>
    </row>
    <row r="255" hidden="1" ht="13.25" customHeight="1">
      <c r="A255" s="630" t="n">
        <v>7</v>
      </c>
      <c r="B255" s="588" t="inlineStr">
        <is>
          <t>日</t>
        </is>
      </c>
      <c r="C255" s="878" t="n"/>
      <c r="D255" s="879" t="n"/>
      <c r="E255" s="879" t="n"/>
      <c r="F255" s="887" t="n"/>
      <c r="G255" s="588" t="n"/>
      <c r="H255" s="588" t="n"/>
      <c r="I255" s="588" t="n"/>
      <c r="J255" s="588" t="n"/>
      <c r="K255" s="883" t="n"/>
      <c r="L255" s="588" t="n"/>
      <c r="M255" s="883" t="n"/>
      <c r="N255" s="128" t="n"/>
      <c r="O255" s="9" t="n"/>
      <c r="P255" s="9" t="n"/>
      <c r="Q255" s="9" t="n"/>
      <c r="R255" s="9" t="n"/>
      <c r="S255" s="9" t="n"/>
      <c r="T255" s="9" t="n"/>
      <c r="U255" s="9" t="n"/>
      <c r="V255" s="9" t="n"/>
    </row>
    <row r="256" hidden="1" ht="13.25" customHeight="1">
      <c r="A256" s="630" t="n">
        <v>8</v>
      </c>
      <c r="B256" s="588" t="inlineStr">
        <is>
          <t>月</t>
        </is>
      </c>
      <c r="C256" s="879" t="n"/>
      <c r="D256" s="879" t="n"/>
      <c r="E256" s="879" t="n"/>
      <c r="F256" s="887" t="n"/>
      <c r="G256" s="588" t="n"/>
      <c r="H256" s="588" t="n"/>
      <c r="I256" s="588" t="n"/>
      <c r="J256" s="588" t="n"/>
      <c r="K256" s="883" t="n"/>
      <c r="L256" s="588" t="n"/>
      <c r="M256" s="883" t="n"/>
      <c r="N256" s="128" t="n"/>
      <c r="O256" s="9" t="n"/>
      <c r="P256" s="9" t="n"/>
      <c r="Q256" s="9" t="n"/>
      <c r="R256" s="9" t="n"/>
      <c r="S256" s="9" t="n"/>
      <c r="T256" s="9" t="n"/>
      <c r="U256" s="9" t="n"/>
      <c r="V256" s="9" t="n"/>
    </row>
    <row r="257" hidden="1" ht="13.25" customHeight="1">
      <c r="A257" s="630" t="n">
        <v>9</v>
      </c>
      <c r="B257" s="588" t="inlineStr">
        <is>
          <t>火</t>
        </is>
      </c>
      <c r="C257" s="879" t="n">
        <v>949.14</v>
      </c>
      <c r="D257" s="879" t="n">
        <v>606.9</v>
      </c>
      <c r="E257" s="879" t="n">
        <v>2.41</v>
      </c>
      <c r="F257" s="887" t="n">
        <v>1048</v>
      </c>
      <c r="G257" s="588" t="n">
        <v>10</v>
      </c>
      <c r="H257" s="588" t="n"/>
      <c r="I257" s="588" t="n"/>
      <c r="J257" s="588" t="n">
        <v>626178</v>
      </c>
      <c r="K257" s="883">
        <f>(J257-J253)/4</f>
        <v/>
      </c>
      <c r="L257" s="588" t="n">
        <v>251119</v>
      </c>
      <c r="M257" s="883">
        <f>(L257-L253)/4</f>
        <v/>
      </c>
      <c r="N257" s="128" t="n"/>
      <c r="O257" s="9" t="n"/>
      <c r="P257" s="9" t="n"/>
      <c r="Q257" s="9" t="n"/>
      <c r="R257" s="9" t="n"/>
      <c r="S257" s="9" t="n"/>
      <c r="T257" s="9" t="n"/>
      <c r="U257" s="9" t="n"/>
      <c r="V257" s="9" t="n"/>
    </row>
    <row r="258" hidden="1" ht="13.25" customHeight="1">
      <c r="A258" s="630" t="n">
        <v>10</v>
      </c>
      <c r="B258" s="588" t="inlineStr">
        <is>
          <t>水</t>
        </is>
      </c>
      <c r="C258" s="879" t="n">
        <v>951.4299999999999</v>
      </c>
      <c r="D258" s="879" t="n">
        <v>608.49</v>
      </c>
      <c r="E258" s="879" t="n">
        <v>2.44</v>
      </c>
      <c r="F258" s="887" t="n">
        <v>1048</v>
      </c>
      <c r="G258" s="588" t="n"/>
      <c r="H258" s="588" t="n">
        <v>1.61</v>
      </c>
      <c r="I258" s="588" t="n"/>
      <c r="J258" s="588" t="n">
        <v>626545</v>
      </c>
      <c r="K258" s="883">
        <f>J258-J257</f>
        <v/>
      </c>
      <c r="L258" s="588" t="n">
        <v>251456</v>
      </c>
      <c r="M258" s="883">
        <f>L258-L257</f>
        <v/>
      </c>
      <c r="N258" s="128" t="n"/>
      <c r="O258" s="9" t="n"/>
      <c r="P258" s="9" t="n"/>
      <c r="Q258" s="9" t="n"/>
      <c r="R258" s="9" t="n"/>
      <c r="S258" s="9" t="n"/>
      <c r="T258" s="9" t="n"/>
      <c r="U258" s="9" t="n"/>
      <c r="V258" s="9" t="n"/>
    </row>
    <row r="259" hidden="1" ht="13.25" customHeight="1">
      <c r="A259" s="630" t="n">
        <v>11</v>
      </c>
      <c r="B259" s="588" t="inlineStr">
        <is>
          <t>木</t>
        </is>
      </c>
      <c r="C259" s="879" t="n">
        <v>953.66</v>
      </c>
      <c r="D259" s="879" t="n">
        <v>610.05</v>
      </c>
      <c r="E259" s="879" t="n">
        <v>2.45</v>
      </c>
      <c r="F259" s="887" t="n">
        <v>1048</v>
      </c>
      <c r="G259" s="588" t="n"/>
      <c r="H259" s="588" t="n">
        <v>1.35</v>
      </c>
      <c r="I259" s="588" t="n">
        <v>1.61</v>
      </c>
      <c r="J259" s="588" t="n">
        <v>626867</v>
      </c>
      <c r="K259" s="883">
        <f>J259-J258</f>
        <v/>
      </c>
      <c r="L259" s="588" t="n">
        <v>251780</v>
      </c>
      <c r="M259" s="883">
        <f>L259-L258</f>
        <v/>
      </c>
      <c r="N259" s="128" t="n"/>
      <c r="O259" s="9" t="n"/>
      <c r="P259" s="9" t="n"/>
      <c r="Q259" s="9" t="n"/>
      <c r="R259" s="9" t="n"/>
      <c r="S259" s="9" t="n"/>
      <c r="T259" s="9" t="n"/>
      <c r="U259" s="9" t="n"/>
      <c r="V259" s="9" t="n"/>
    </row>
    <row r="260" hidden="1" ht="13.25" customHeight="1">
      <c r="A260" s="630" t="n">
        <v>12</v>
      </c>
      <c r="B260" s="588" t="inlineStr">
        <is>
          <t>金</t>
        </is>
      </c>
      <c r="C260" s="879" t="n">
        <v>955.4400000000001</v>
      </c>
      <c r="D260" s="879" t="n">
        <v>611.23</v>
      </c>
      <c r="E260" s="879" t="n">
        <v>2.45</v>
      </c>
      <c r="F260" s="887" t="n">
        <v>1048</v>
      </c>
      <c r="G260" s="588" t="n"/>
      <c r="H260" s="588" t="n"/>
      <c r="I260" s="588" t="n">
        <v>1.35</v>
      </c>
      <c r="J260" s="588" t="n">
        <v>627210</v>
      </c>
      <c r="K260" s="883">
        <f>J260-J259</f>
        <v/>
      </c>
      <c r="L260" s="588" t="n">
        <v>252117</v>
      </c>
      <c r="M260" s="883">
        <f>L260-L259</f>
        <v/>
      </c>
      <c r="N260" s="128" t="n"/>
      <c r="O260" s="9" t="n"/>
      <c r="P260" s="9" t="n"/>
      <c r="Q260" s="9" t="n"/>
      <c r="R260" s="9" t="n"/>
      <c r="S260" s="9" t="n"/>
      <c r="T260" s="9" t="n"/>
      <c r="U260" s="9" t="n"/>
      <c r="V260" s="9" t="n"/>
    </row>
    <row r="261" hidden="1" ht="13.25" customHeight="1">
      <c r="A261" s="630" t="n">
        <v>13</v>
      </c>
      <c r="B261" s="588" t="inlineStr">
        <is>
          <t>土</t>
        </is>
      </c>
      <c r="C261" s="879" t="n"/>
      <c r="D261" s="879" t="n"/>
      <c r="E261" s="879" t="n"/>
      <c r="F261" s="888" t="n"/>
      <c r="G261" s="588" t="n"/>
      <c r="H261" s="588" t="n"/>
      <c r="I261" s="588" t="n"/>
      <c r="J261" s="588" t="n"/>
      <c r="K261" s="883" t="n"/>
      <c r="L261" s="588" t="n"/>
      <c r="M261" s="883" t="n"/>
      <c r="N261" s="128" t="n"/>
      <c r="O261" s="9" t="n"/>
      <c r="P261" s="9" t="n"/>
      <c r="Q261" s="9" t="n"/>
      <c r="R261" s="9" t="n"/>
      <c r="S261" s="9" t="n"/>
      <c r="T261" s="9" t="n"/>
      <c r="U261" s="9" t="n"/>
      <c r="V261" s="9" t="n"/>
    </row>
    <row r="262" hidden="1" ht="13.25" customHeight="1">
      <c r="A262" s="630" t="n">
        <v>14</v>
      </c>
      <c r="B262" s="588" t="inlineStr">
        <is>
          <t>日</t>
        </is>
      </c>
      <c r="C262" s="879" t="n"/>
      <c r="D262" s="879" t="n"/>
      <c r="E262" s="879" t="n"/>
      <c r="F262" s="888" t="n"/>
      <c r="G262" s="588" t="n"/>
      <c r="H262" s="588" t="n"/>
      <c r="I262" s="588" t="n"/>
      <c r="J262" s="588" t="n"/>
      <c r="K262" s="883" t="n"/>
      <c r="L262" s="588" t="n"/>
      <c r="M262" s="883" t="n"/>
      <c r="N262" s="128" t="n"/>
      <c r="O262" s="9" t="n"/>
      <c r="P262" s="9" t="n"/>
      <c r="Q262" s="9" t="n"/>
      <c r="R262" s="9" t="n"/>
      <c r="S262" s="9" t="n"/>
      <c r="T262" s="9" t="n"/>
      <c r="U262" s="9" t="n"/>
      <c r="V262" s="9" t="n"/>
    </row>
    <row r="263" hidden="1" ht="13.25" customHeight="1">
      <c r="A263" s="630" t="n">
        <v>15</v>
      </c>
      <c r="B263" s="588" t="inlineStr">
        <is>
          <t>月</t>
        </is>
      </c>
      <c r="C263" s="879" t="n">
        <v>960.71</v>
      </c>
      <c r="D263" s="879" t="n">
        <v>614.64</v>
      </c>
      <c r="E263" s="879" t="n">
        <v>2.45</v>
      </c>
      <c r="F263" s="888" t="n">
        <v>1049</v>
      </c>
      <c r="G263" s="588" t="n">
        <v>15</v>
      </c>
      <c r="H263" s="588" t="n"/>
      <c r="I263" s="588" t="n"/>
      <c r="J263" s="588" t="n">
        <v>628341</v>
      </c>
      <c r="K263" s="883">
        <f>(J263-J260)/3</f>
        <v/>
      </c>
      <c r="L263" s="588" t="n">
        <v>253213</v>
      </c>
      <c r="M263" s="883">
        <f>(L263-L260)/3</f>
        <v/>
      </c>
      <c r="N263" s="128" t="n"/>
      <c r="O263" s="9" t="n"/>
      <c r="P263" s="9" t="n"/>
      <c r="Q263" s="9" t="n"/>
      <c r="R263" s="9" t="n"/>
      <c r="S263" s="9" t="n"/>
      <c r="T263" s="9" t="n"/>
      <c r="U263" s="9" t="n"/>
      <c r="V263" s="9" t="n"/>
    </row>
    <row r="264" hidden="1" ht="13.25" customHeight="1">
      <c r="A264" s="630" t="n">
        <v>16</v>
      </c>
      <c r="B264" s="588" t="inlineStr">
        <is>
          <t>火</t>
        </is>
      </c>
      <c r="C264" s="879" t="n">
        <v>962.49</v>
      </c>
      <c r="D264" s="879" t="n">
        <v>615.83</v>
      </c>
      <c r="E264" s="879" t="n">
        <v>2.45</v>
      </c>
      <c r="F264" s="888" t="n">
        <v>1049</v>
      </c>
      <c r="G264" s="588" t="n"/>
      <c r="H264" s="588" t="n"/>
      <c r="I264" s="588" t="n"/>
      <c r="J264" s="588" t="n">
        <v>628696</v>
      </c>
      <c r="K264" s="883">
        <f>J264-J263</f>
        <v/>
      </c>
      <c r="L264" s="588" t="n">
        <v>253582</v>
      </c>
      <c r="M264" s="883">
        <f>L264-L263</f>
        <v/>
      </c>
      <c r="N264" s="128" t="n"/>
      <c r="O264" s="9" t="n"/>
      <c r="P264" s="9" t="n"/>
      <c r="Q264" s="9" t="n"/>
      <c r="R264" s="9" t="n"/>
      <c r="S264" s="9" t="n"/>
      <c r="T264" s="9" t="n"/>
      <c r="U264" s="9" t="n"/>
      <c r="V264" s="9" t="n"/>
    </row>
    <row r="265" hidden="1" ht="13.25" customHeight="1">
      <c r="A265" s="630" t="n">
        <v>17</v>
      </c>
      <c r="B265" s="588" t="inlineStr">
        <is>
          <t>水</t>
        </is>
      </c>
      <c r="C265" s="879" t="n">
        <v>964.38</v>
      </c>
      <c r="D265" s="879" t="n">
        <v>617.12</v>
      </c>
      <c r="E265" s="879" t="n">
        <v>2.46</v>
      </c>
      <c r="F265" s="888" t="n">
        <v>1050</v>
      </c>
      <c r="G265" s="588" t="n"/>
      <c r="H265" s="588" t="n">
        <v>1.12</v>
      </c>
      <c r="I265" s="588" t="n"/>
      <c r="J265" s="588" t="n">
        <v>629042</v>
      </c>
      <c r="K265" s="883">
        <f>J265-J264</f>
        <v/>
      </c>
      <c r="L265" s="588" t="n">
        <v>253928</v>
      </c>
      <c r="M265" s="883">
        <f>L265-L264</f>
        <v/>
      </c>
      <c r="N265" s="128" t="n"/>
      <c r="O265" s="9" t="n"/>
      <c r="P265" s="9" t="n"/>
      <c r="Q265" s="9" t="n"/>
      <c r="R265" s="9" t="n"/>
      <c r="S265" s="9" t="n"/>
      <c r="T265" s="9" t="n"/>
      <c r="U265" s="9" t="n"/>
      <c r="V265" s="9" t="n"/>
    </row>
    <row r="266" hidden="1" ht="13.25" customHeight="1">
      <c r="A266" s="630" t="n">
        <v>18</v>
      </c>
      <c r="B266" s="588" t="inlineStr">
        <is>
          <t>木</t>
        </is>
      </c>
      <c r="C266" s="879" t="n">
        <v>966.78</v>
      </c>
      <c r="D266" s="879" t="n">
        <v>618.92</v>
      </c>
      <c r="E266" s="879" t="n">
        <v>2.5</v>
      </c>
      <c r="F266" s="888" t="n">
        <v>1050</v>
      </c>
      <c r="G266" s="588" t="n"/>
      <c r="H266" s="588" t="n">
        <v>1.38</v>
      </c>
      <c r="I266" s="588" t="n">
        <v>1.12</v>
      </c>
      <c r="J266" s="588" t="n">
        <v>629412</v>
      </c>
      <c r="K266" s="883">
        <f>J266-J265</f>
        <v/>
      </c>
      <c r="L266" s="588" t="n">
        <v>254308</v>
      </c>
      <c r="M266" s="883">
        <f>L266-L265</f>
        <v/>
      </c>
      <c r="N266" s="128" t="n"/>
      <c r="O266" s="9" t="n"/>
      <c r="P266" s="9" t="n"/>
      <c r="Q266" s="9" t="n"/>
      <c r="R266" s="9" t="n"/>
      <c r="S266" s="9" t="n"/>
      <c r="T266" s="9" t="n"/>
      <c r="U266" s="9" t="n"/>
      <c r="V266" s="9" t="n"/>
    </row>
    <row r="267" hidden="1" ht="13.25" customHeight="1">
      <c r="A267" s="630" t="n">
        <v>19</v>
      </c>
      <c r="B267" s="588" t="inlineStr">
        <is>
          <t>金</t>
        </is>
      </c>
      <c r="C267" s="879" t="n">
        <v>968.7</v>
      </c>
      <c r="D267" s="879" t="n">
        <v>620.25</v>
      </c>
      <c r="E267" s="879" t="n">
        <v>2.51</v>
      </c>
      <c r="F267" s="888" t="n">
        <v>1050</v>
      </c>
      <c r="G267" s="588" t="n"/>
      <c r="H267" s="588" t="n"/>
      <c r="I267" s="588" t="n">
        <v>1.38</v>
      </c>
      <c r="J267" s="588" t="n">
        <v>629750</v>
      </c>
      <c r="K267" s="883" t="n">
        <v>338</v>
      </c>
      <c r="L267" s="588" t="n">
        <v>254626</v>
      </c>
      <c r="M267" s="883" t="n">
        <v>318</v>
      </c>
      <c r="N267" s="128" t="n"/>
      <c r="O267" s="9" t="n"/>
      <c r="P267" s="9" t="n"/>
      <c r="Q267" s="9" t="n"/>
      <c r="R267" s="9" t="n"/>
      <c r="S267" s="9" t="n"/>
      <c r="T267" s="9" t="n"/>
      <c r="U267" s="9" t="n"/>
      <c r="V267" s="9" t="n"/>
    </row>
    <row r="268" hidden="1" ht="13.25" customHeight="1">
      <c r="A268" s="630" t="n">
        <v>20</v>
      </c>
      <c r="B268" s="588" t="inlineStr">
        <is>
          <t>土</t>
        </is>
      </c>
      <c r="C268" s="879" t="n"/>
      <c r="D268" s="879" t="n"/>
      <c r="E268" s="879" t="n"/>
      <c r="F268" s="888" t="n"/>
      <c r="G268" s="588" t="n"/>
      <c r="H268" s="588" t="n"/>
      <c r="I268" s="588" t="n"/>
      <c r="J268" s="588" t="n"/>
      <c r="K268" s="883" t="n"/>
      <c r="L268" s="588" t="n"/>
      <c r="M268" s="883" t="n"/>
      <c r="N268" s="128" t="n"/>
      <c r="O268" s="9" t="n"/>
      <c r="P268" s="9" t="n"/>
      <c r="Q268" s="9" t="n"/>
      <c r="R268" s="9" t="n"/>
      <c r="S268" s="9" t="n"/>
      <c r="T268" s="9" t="n"/>
      <c r="U268" s="9" t="n"/>
      <c r="V268" s="9" t="n"/>
    </row>
    <row r="269" hidden="1" ht="13.25" customHeight="1">
      <c r="A269" s="630" t="n">
        <v>21</v>
      </c>
      <c r="B269" s="588" t="inlineStr">
        <is>
          <t>日</t>
        </is>
      </c>
      <c r="C269" s="879" t="n"/>
      <c r="D269" s="879" t="n"/>
      <c r="E269" s="879" t="n"/>
      <c r="F269" s="888" t="n"/>
      <c r="G269" s="588" t="n"/>
      <c r="H269" s="588" t="n"/>
      <c r="I269" s="588" t="n"/>
      <c r="J269" s="588" t="n"/>
      <c r="K269" s="883" t="n"/>
      <c r="L269" s="588" t="n"/>
      <c r="M269" s="883" t="n"/>
      <c r="N269" s="128" t="n"/>
      <c r="O269" s="9" t="n"/>
      <c r="P269" s="9" t="n"/>
      <c r="Q269" s="9" t="n"/>
      <c r="R269" s="9" t="n"/>
      <c r="S269" s="9" t="n"/>
      <c r="T269" s="9" t="n"/>
      <c r="U269" s="9" t="n"/>
      <c r="V269" s="9" t="n"/>
    </row>
    <row r="270" hidden="1" ht="13.25" customHeight="1">
      <c r="A270" s="630" t="n">
        <v>22</v>
      </c>
      <c r="B270" s="588" t="inlineStr">
        <is>
          <t>月</t>
        </is>
      </c>
      <c r="C270" s="879" t="n">
        <v>975.52</v>
      </c>
      <c r="D270" s="879" t="n">
        <v>624.6799999999999</v>
      </c>
      <c r="E270" s="879" t="n">
        <v>2.51</v>
      </c>
      <c r="F270" s="888" t="n">
        <v>1050</v>
      </c>
      <c r="G270" s="588" t="n"/>
      <c r="H270" s="588" t="n"/>
      <c r="I270" s="588" t="n"/>
      <c r="J270" s="588" t="n">
        <v>630836</v>
      </c>
      <c r="K270" s="883">
        <f>(J270-J267)/3</f>
        <v/>
      </c>
      <c r="L270" s="588" t="n">
        <v>255754</v>
      </c>
      <c r="M270" s="883">
        <f>(L270-L267)/3</f>
        <v/>
      </c>
      <c r="N270" s="128" t="n"/>
      <c r="O270" s="9" t="n"/>
      <c r="P270" s="9" t="n"/>
      <c r="Q270" s="9" t="n"/>
      <c r="R270" s="9" t="n"/>
      <c r="S270" s="9" t="n"/>
      <c r="T270" s="9" t="n"/>
      <c r="U270" s="9" t="n"/>
      <c r="V270" s="9" t="n"/>
    </row>
    <row r="271" hidden="1" ht="13.25" customHeight="1">
      <c r="A271" s="630" t="n">
        <v>23</v>
      </c>
      <c r="B271" s="588" t="inlineStr">
        <is>
          <t>火</t>
        </is>
      </c>
      <c r="C271" s="879" t="n">
        <v>978.02</v>
      </c>
      <c r="D271" s="879" t="n">
        <v>626.5</v>
      </c>
      <c r="E271" s="879" t="n">
        <v>2.56</v>
      </c>
      <c r="F271" s="888" t="n">
        <v>1051</v>
      </c>
      <c r="G271" s="588" t="n"/>
      <c r="H271" s="588" t="n">
        <v>1.36</v>
      </c>
      <c r="I271" s="588" t="n"/>
      <c r="J271" s="588" t="n">
        <v>631190</v>
      </c>
      <c r="K271" s="883">
        <f>J271-J270</f>
        <v/>
      </c>
      <c r="L271" s="588" t="n">
        <v>256146</v>
      </c>
      <c r="M271" s="883">
        <f>L271-L270</f>
        <v/>
      </c>
      <c r="N271" s="128" t="n"/>
      <c r="O271" s="9" t="n"/>
      <c r="P271" s="9" t="n"/>
      <c r="Q271" s="9" t="n"/>
      <c r="R271" s="9" t="n"/>
      <c r="S271" s="9" t="n"/>
      <c r="T271" s="9" t="n"/>
      <c r="U271" s="9" t="n"/>
      <c r="V271" s="9" t="n"/>
    </row>
    <row r="272" hidden="1" ht="13.25" customHeight="1">
      <c r="A272" s="630" t="n">
        <v>24</v>
      </c>
      <c r="B272" s="588" t="inlineStr">
        <is>
          <t>水</t>
        </is>
      </c>
      <c r="C272" s="879" t="n">
        <v>979.98</v>
      </c>
      <c r="D272" s="879" t="n">
        <v>627.85</v>
      </c>
      <c r="E272" s="879" t="n">
        <v>2.57</v>
      </c>
      <c r="F272" s="888" t="n">
        <v>1057</v>
      </c>
      <c r="G272" s="588" t="n"/>
      <c r="H272" s="588" t="n">
        <v>1.12</v>
      </c>
      <c r="I272" s="588" t="n">
        <v>1.36</v>
      </c>
      <c r="J272" s="588" t="n">
        <v>631531</v>
      </c>
      <c r="K272" s="883">
        <f>J272-J271</f>
        <v/>
      </c>
      <c r="L272" s="588" t="n">
        <v>256475</v>
      </c>
      <c r="M272" s="883">
        <f>L272-L271</f>
        <v/>
      </c>
      <c r="N272" s="128" t="n"/>
      <c r="O272" s="9" t="n"/>
      <c r="P272" s="9" t="n"/>
      <c r="Q272" s="9" t="n"/>
      <c r="R272" s="9" t="n"/>
      <c r="S272" s="9" t="n"/>
      <c r="T272" s="9" t="n"/>
      <c r="U272" s="9" t="n"/>
      <c r="V272" s="9" t="n"/>
    </row>
    <row r="273" hidden="1" ht="13.25" customHeight="1">
      <c r="A273" s="630" t="n">
        <v>25</v>
      </c>
      <c r="B273" s="588" t="inlineStr">
        <is>
          <t>木</t>
        </is>
      </c>
      <c r="C273" s="879" t="n">
        <v>982.28</v>
      </c>
      <c r="D273" s="879" t="n">
        <v>629.53</v>
      </c>
      <c r="E273" s="879" t="n">
        <v>2.6</v>
      </c>
      <c r="F273" s="888" t="n">
        <v>1060</v>
      </c>
      <c r="G273" s="588" t="n"/>
      <c r="H273" s="588" t="n">
        <v>1.17</v>
      </c>
      <c r="I273" s="588" t="n">
        <v>1.12</v>
      </c>
      <c r="J273" s="588" t="n">
        <v>631888</v>
      </c>
      <c r="K273" s="883">
        <f>J273-J272</f>
        <v/>
      </c>
      <c r="L273" s="588" t="n">
        <v>256827</v>
      </c>
      <c r="M273" s="883">
        <f>L273-L272</f>
        <v/>
      </c>
      <c r="N273" s="128" t="n"/>
      <c r="O273" s="9" t="n"/>
      <c r="P273" s="9" t="n"/>
      <c r="Q273" s="9" t="n"/>
      <c r="R273" s="9" t="n"/>
      <c r="S273" s="9" t="n"/>
      <c r="T273" s="9" t="n"/>
      <c r="U273" s="9" t="n"/>
      <c r="V273" s="9" t="n"/>
    </row>
    <row r="274" hidden="1" ht="13.25" customHeight="1">
      <c r="A274" s="630" t="n">
        <v>26</v>
      </c>
      <c r="B274" s="588" t="inlineStr">
        <is>
          <t>金</t>
        </is>
      </c>
      <c r="C274" s="879" t="n">
        <v>984.54</v>
      </c>
      <c r="D274" s="879" t="n">
        <v>631.17</v>
      </c>
      <c r="E274" s="879" t="n">
        <v>2.62</v>
      </c>
      <c r="F274" s="888" t="n">
        <v>1061</v>
      </c>
      <c r="G274" s="588" t="n"/>
      <c r="H274" s="588" t="n">
        <v>0.89</v>
      </c>
      <c r="I274" s="588" t="n">
        <v>1.17</v>
      </c>
      <c r="J274" s="588" t="n">
        <v>632211</v>
      </c>
      <c r="K274" s="883">
        <f>J274-J273</f>
        <v/>
      </c>
      <c r="L274" s="588" t="n">
        <v>257166</v>
      </c>
      <c r="M274" s="883">
        <f>L274-L273</f>
        <v/>
      </c>
      <c r="N274" s="128" t="n"/>
      <c r="O274" s="9" t="n"/>
      <c r="P274" s="9" t="n"/>
      <c r="Q274" s="9" t="n"/>
      <c r="R274" s="9" t="n"/>
      <c r="S274" s="9" t="n"/>
      <c r="T274" s="9" t="n"/>
      <c r="U274" s="9" t="n"/>
      <c r="V274" s="9" t="n"/>
    </row>
    <row r="275" hidden="1" ht="13.25" customHeight="1">
      <c r="A275" s="630" t="n">
        <v>27</v>
      </c>
      <c r="B275" s="588" t="inlineStr">
        <is>
          <t>土</t>
        </is>
      </c>
      <c r="C275" s="879" t="n"/>
      <c r="D275" s="879" t="n"/>
      <c r="E275" s="879" t="n"/>
      <c r="F275" s="888" t="n"/>
      <c r="G275" s="588" t="n"/>
      <c r="H275" s="588" t="n"/>
      <c r="I275" s="588" t="n">
        <v>0.89</v>
      </c>
      <c r="J275" s="588" t="n"/>
      <c r="K275" s="883" t="n"/>
      <c r="L275" s="588" t="n"/>
      <c r="M275" s="883" t="n"/>
      <c r="N275" s="128" t="n"/>
      <c r="O275" s="9" t="n"/>
      <c r="P275" s="9" t="n"/>
      <c r="Q275" s="9" t="n"/>
      <c r="R275" s="9" t="n"/>
      <c r="S275" s="9" t="n"/>
      <c r="T275" s="9" t="n"/>
      <c r="U275" s="9" t="n"/>
      <c r="V275" s="9" t="n"/>
    </row>
    <row r="276" hidden="1" ht="13.25" customHeight="1">
      <c r="A276" s="630" t="n">
        <v>28</v>
      </c>
      <c r="B276" s="588" t="inlineStr">
        <is>
          <t>日</t>
        </is>
      </c>
      <c r="C276" s="879" t="n"/>
      <c r="D276" s="879" t="n"/>
      <c r="E276" s="879" t="n"/>
      <c r="F276" s="888" t="n"/>
      <c r="G276" s="588" t="n"/>
      <c r="H276" s="588" t="n"/>
      <c r="I276" s="588" t="n"/>
      <c r="J276" s="588" t="n"/>
      <c r="K276" s="883" t="n"/>
      <c r="L276" s="588" t="n"/>
      <c r="M276" s="883" t="n"/>
      <c r="N276" s="128" t="n"/>
      <c r="O276" s="9" t="n"/>
      <c r="P276" s="9" t="n"/>
      <c r="Q276" s="9" t="n"/>
      <c r="R276" s="9" t="n"/>
      <c r="S276" s="9" t="n"/>
      <c r="T276" s="9" t="n"/>
      <c r="U276" s="9" t="n"/>
      <c r="V276" s="9" t="n"/>
    </row>
    <row r="277" hidden="1" ht="13.25" customHeight="1">
      <c r="A277" s="630" t="n">
        <v>29</v>
      </c>
      <c r="B277" s="588" t="inlineStr">
        <is>
          <t>月</t>
        </is>
      </c>
      <c r="C277" s="879" t="n">
        <v>990.37</v>
      </c>
      <c r="D277" s="879" t="n">
        <v>635.11</v>
      </c>
      <c r="E277" s="879" t="n">
        <v>2.62</v>
      </c>
      <c r="F277" s="888" t="n">
        <v>1064</v>
      </c>
      <c r="G277" s="588" t="n"/>
      <c r="H277" s="588" t="n"/>
      <c r="I277" s="588" t="n"/>
      <c r="J277" s="588" t="n">
        <v>633352</v>
      </c>
      <c r="K277" s="588">
        <f>(J277-J274)/3</f>
        <v/>
      </c>
      <c r="L277" s="588" t="n">
        <v>258304</v>
      </c>
      <c r="M277" s="588">
        <f>(L277-L274)/3</f>
        <v/>
      </c>
      <c r="N277" s="128" t="n"/>
      <c r="O277" s="9" t="n"/>
      <c r="P277" s="9" t="n"/>
      <c r="Q277" s="9" t="n"/>
      <c r="R277" s="9" t="n"/>
      <c r="S277" s="9" t="n"/>
      <c r="T277" s="9" t="n"/>
      <c r="U277" s="9" t="n"/>
      <c r="V277" s="9" t="n"/>
    </row>
    <row r="278" hidden="1" ht="13.25" customHeight="1">
      <c r="A278" s="630" t="n">
        <v>30</v>
      </c>
      <c r="B278" s="588" t="inlineStr">
        <is>
          <t>火</t>
        </is>
      </c>
      <c r="C278" s="879" t="n">
        <v>992.48</v>
      </c>
      <c r="D278" s="879" t="n">
        <v>636.59</v>
      </c>
      <c r="E278" s="879" t="n">
        <v>2.64</v>
      </c>
      <c r="F278" s="888" t="n">
        <v>1064</v>
      </c>
      <c r="G278" s="588" t="n"/>
      <c r="H278" s="588" t="n"/>
      <c r="I278" s="588" t="n"/>
      <c r="J278" s="588" t="n">
        <v>633714</v>
      </c>
      <c r="K278" s="588">
        <f>J278-J277</f>
        <v/>
      </c>
      <c r="L278" s="588" t="n">
        <v>258674</v>
      </c>
      <c r="M278" s="588">
        <f>L278-L277</f>
        <v/>
      </c>
      <c r="N278" s="128" t="n"/>
      <c r="O278" s="9" t="n"/>
      <c r="P278" s="9" t="n"/>
      <c r="Q278" s="9" t="n"/>
      <c r="R278" s="9" t="n"/>
      <c r="S278" s="9" t="n"/>
      <c r="T278" s="9" t="n"/>
      <c r="U278" s="9" t="n"/>
      <c r="V278" s="9" t="n"/>
    </row>
    <row r="279" hidden="1" ht="13.25" customHeight="1">
      <c r="A279" s="630" t="n">
        <v>31</v>
      </c>
      <c r="B279" s="588" t="inlineStr">
        <is>
          <t>水</t>
        </is>
      </c>
      <c r="C279" s="879" t="n">
        <v>994.7</v>
      </c>
      <c r="D279" s="879" t="n">
        <v>638.2</v>
      </c>
      <c r="E279" s="879" t="n">
        <v>2.67</v>
      </c>
      <c r="F279" s="888" t="n">
        <v>1065</v>
      </c>
      <c r="G279" s="588" t="n"/>
      <c r="H279" s="588" t="n"/>
      <c r="I279" s="588" t="n"/>
      <c r="J279" s="588" t="n">
        <v>634060</v>
      </c>
      <c r="K279" s="588">
        <f>J279-J278</f>
        <v/>
      </c>
      <c r="L279" s="588" t="n">
        <v>259012</v>
      </c>
      <c r="M279" s="588">
        <f>L279-L278</f>
        <v/>
      </c>
      <c r="N279" s="128" t="n"/>
      <c r="O279" s="9" t="n"/>
      <c r="P279" s="9" t="n"/>
      <c r="Q279" s="9" t="n"/>
      <c r="R279" s="9" t="n"/>
      <c r="S279" s="9" t="n"/>
      <c r="T279" s="9" t="n"/>
      <c r="U279" s="9" t="n"/>
      <c r="V279" s="9" t="n"/>
    </row>
    <row r="280" hidden="1" ht="13.25" customHeight="1">
      <c r="A280" s="589" t="inlineStr">
        <is>
          <t>最大</t>
        </is>
      </c>
      <c r="B280" s="580" t="n"/>
      <c r="C280" s="176" t="inlineStr">
        <is>
          <t>-</t>
        </is>
      </c>
      <c r="D280" s="176" t="inlineStr">
        <is>
          <t>-</t>
        </is>
      </c>
      <c r="E280" s="176" t="inlineStr">
        <is>
          <t>-</t>
        </is>
      </c>
      <c r="F280" s="176" t="inlineStr">
        <is>
          <t>-</t>
        </is>
      </c>
      <c r="G280" s="883">
        <f>MAX(G252,G259,G266,G273)</f>
        <v/>
      </c>
      <c r="H280" s="878">
        <f>MAX(H254,H261,H268,H275)</f>
        <v/>
      </c>
      <c r="I280" s="878" t="n"/>
      <c r="J280" s="176" t="inlineStr">
        <is>
          <t>-</t>
        </is>
      </c>
      <c r="K280" s="883">
        <f>MAX(K252:K253,K257:K260,K263:K267,K270:K274,K277:K279)</f>
        <v/>
      </c>
      <c r="L280" s="176" t="inlineStr">
        <is>
          <t>-</t>
        </is>
      </c>
      <c r="M280" s="883">
        <f>MAX(M252:M253,M257:M260,M263:M267,M270:M274,M277:M279)</f>
        <v/>
      </c>
      <c r="N280" s="128" t="n"/>
      <c r="O280" s="9" t="n"/>
      <c r="P280" s="9" t="n"/>
      <c r="Q280" s="9" t="n"/>
      <c r="R280" s="9" t="n"/>
      <c r="S280" s="9" t="n"/>
      <c r="T280" s="9" t="n"/>
      <c r="U280" s="9" t="n"/>
      <c r="V280" s="9" t="n"/>
    </row>
    <row r="281" hidden="1" ht="13.25" customHeight="1">
      <c r="A281" s="589" t="inlineStr">
        <is>
          <t>平均</t>
        </is>
      </c>
      <c r="B281" s="580" t="n"/>
      <c r="C281" s="176" t="inlineStr">
        <is>
          <t>-</t>
        </is>
      </c>
      <c r="D281" s="176" t="inlineStr">
        <is>
          <t>-</t>
        </is>
      </c>
      <c r="E281" s="176" t="inlineStr">
        <is>
          <t>-</t>
        </is>
      </c>
      <c r="F281" s="176" t="inlineStr">
        <is>
          <t>-</t>
        </is>
      </c>
      <c r="G281" s="883">
        <f>AVERAGE(G252,G259,G266,G273)</f>
        <v/>
      </c>
      <c r="H281" s="878">
        <f>AVERAGE(H254,H261,H268,H275)</f>
        <v/>
      </c>
      <c r="I281" s="878" t="n"/>
      <c r="J281" s="176" t="inlineStr">
        <is>
          <t>-</t>
        </is>
      </c>
      <c r="K281" s="883">
        <f>AVERAGE(K252:K253,K257:K260,K263:K267,K270:K274,K277:K279)</f>
        <v/>
      </c>
      <c r="L281" s="176" t="inlineStr">
        <is>
          <t>-</t>
        </is>
      </c>
      <c r="M281" s="883">
        <f>AVERAGE(M252:M253,M257:M260,M263:M267,M270:M274,M277:M279)</f>
        <v/>
      </c>
      <c r="N281" s="128" t="n"/>
      <c r="O281" s="9" t="n"/>
      <c r="P281" s="9" t="n"/>
      <c r="Q281" s="9" t="n"/>
      <c r="R281" s="9" t="n"/>
      <c r="S281" s="9" t="n"/>
      <c r="T281" s="9" t="n"/>
      <c r="U281" s="9" t="n"/>
      <c r="V281" s="9" t="n"/>
    </row>
    <row r="282" hidden="1" ht="13.25" customHeight="1">
      <c r="A282" s="589" t="inlineStr">
        <is>
          <t>最小</t>
        </is>
      </c>
      <c r="B282" s="580" t="n"/>
      <c r="C282" s="176" t="inlineStr">
        <is>
          <t>-</t>
        </is>
      </c>
      <c r="D282" s="176" t="inlineStr">
        <is>
          <t>-</t>
        </is>
      </c>
      <c r="E282" s="176" t="inlineStr">
        <is>
          <t>-</t>
        </is>
      </c>
      <c r="F282" s="176" t="inlineStr">
        <is>
          <t>-</t>
        </is>
      </c>
      <c r="G282" s="883">
        <f>MIN(G252,G259,G266:G267,G273)</f>
        <v/>
      </c>
      <c r="H282" s="878">
        <f>MIN(H254,H261,H268,H275)</f>
        <v/>
      </c>
      <c r="I282" s="878" t="n"/>
      <c r="J282" s="176" t="inlineStr">
        <is>
          <t>-</t>
        </is>
      </c>
      <c r="K282" s="883">
        <f>MIN(K252:K253,K257:K260,K263:K267,K270:K274,K277:K279)</f>
        <v/>
      </c>
      <c r="L282" s="176" t="inlineStr">
        <is>
          <t>-</t>
        </is>
      </c>
      <c r="M282" s="883">
        <f>MIN(M252:M253,M257:M260,M263:M267,M270:M274,M277:M279)</f>
        <v/>
      </c>
      <c r="N282" s="128" t="n"/>
      <c r="O282" s="9" t="n"/>
      <c r="P282" s="9" t="n"/>
      <c r="Q282" s="9" t="n"/>
      <c r="R282" s="9" t="n"/>
      <c r="S282" s="9" t="n"/>
      <c r="T282" s="9" t="n"/>
      <c r="U282" s="9" t="n"/>
      <c r="V282" s="9" t="n"/>
    </row>
    <row r="283" hidden="1" ht="13.25" customHeight="1">
      <c r="A283" s="589" t="inlineStr">
        <is>
          <t>合計</t>
        </is>
      </c>
      <c r="B283" s="580" t="n"/>
      <c r="C283" s="176" t="n"/>
      <c r="D283" s="176" t="inlineStr">
        <is>
          <t>-</t>
        </is>
      </c>
      <c r="E283" s="176" t="inlineStr">
        <is>
          <t>-</t>
        </is>
      </c>
      <c r="F283" s="176" t="inlineStr">
        <is>
          <t>-</t>
        </is>
      </c>
      <c r="G283" s="883">
        <f>SUM(G252,G259,G266,G273)</f>
        <v/>
      </c>
      <c r="H283" s="878">
        <f>SUM(H254,H261,H268,H275)</f>
        <v/>
      </c>
      <c r="I283" s="878" t="n"/>
      <c r="J283" s="176" t="inlineStr">
        <is>
          <t>-</t>
        </is>
      </c>
      <c r="K283" s="883">
        <f>SUM(K252:K253,K257:K260,K263:K267,K270:K274,K277:K279)</f>
        <v/>
      </c>
      <c r="L283" s="176" t="inlineStr">
        <is>
          <t>-</t>
        </is>
      </c>
      <c r="M283" s="883">
        <f>SUM(M252:M253,M257:M260,M263:M267,M270:M274,M277:M279)</f>
        <v/>
      </c>
      <c r="N283" s="128" t="n"/>
      <c r="O283" s="9" t="n"/>
      <c r="P283" s="9" t="n"/>
      <c r="Q283" s="9" t="n"/>
      <c r="R283" s="9" t="n"/>
      <c r="S283" s="9" t="n"/>
      <c r="T283" s="9" t="n"/>
      <c r="U283" s="9" t="n"/>
      <c r="V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</row>
    <row r="287">
      <c r="A287" s="9" t="n"/>
      <c r="B287" s="9" t="n"/>
      <c r="C287" s="889" t="n"/>
      <c r="D287" s="889" t="n"/>
      <c r="E287" s="889" t="n"/>
      <c r="F287" s="889" t="n"/>
      <c r="G287" s="890" t="n"/>
      <c r="H287" s="890" t="n"/>
      <c r="I287" s="9" t="n"/>
      <c r="J287" s="890" t="n"/>
      <c r="K287" s="9" t="n"/>
      <c r="L287" s="890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</row>
    <row r="288">
      <c r="A288" s="9" t="n"/>
      <c r="B288" s="9" t="n"/>
      <c r="C288" s="889" t="n"/>
      <c r="D288" s="889" t="n"/>
      <c r="E288" s="889" t="n"/>
      <c r="F288" s="889" t="n"/>
      <c r="G288" s="890" t="n"/>
      <c r="H288" s="890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</row>
    <row r="289">
      <c r="A289" s="9" t="n"/>
      <c r="B289" s="9" t="n"/>
      <c r="C289" s="889" t="n"/>
      <c r="D289" s="889" t="n"/>
      <c r="E289" s="889" t="n"/>
      <c r="F289" s="889" t="n"/>
      <c r="G289" s="890" t="n"/>
      <c r="H289" s="890" t="n"/>
      <c r="I289" s="9" t="n"/>
      <c r="J289" s="827" t="n"/>
      <c r="K289" s="9" t="n"/>
      <c r="L289" s="827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</row>
    <row r="290">
      <c r="A290" s="9" t="n"/>
      <c r="B290" s="9" t="n"/>
      <c r="C290" s="889" t="n"/>
      <c r="D290" s="889" t="n"/>
      <c r="E290" s="889" t="n"/>
      <c r="F290" s="889" t="n"/>
      <c r="G290" s="890" t="n"/>
      <c r="H290" s="890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</row>
    <row r="291">
      <c r="A291" s="9" t="n"/>
      <c r="B291" s="9" t="n"/>
      <c r="C291" s="889" t="n"/>
      <c r="D291" s="889" t="n"/>
      <c r="E291" s="889" t="n"/>
      <c r="F291" s="889" t="n"/>
      <c r="G291" s="890" t="n"/>
      <c r="H291" s="890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</row>
    <row r="294">
      <c r="A294" s="9" t="n"/>
      <c r="B294" s="9" t="n"/>
      <c r="C294" s="889" t="n"/>
      <c r="D294" s="889" t="n"/>
      <c r="E294" s="889" t="n"/>
      <c r="F294" s="889" t="n"/>
      <c r="G294" s="890" t="n"/>
      <c r="H294" s="890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</row>
    <row r="295">
      <c r="A295" s="9" t="n"/>
      <c r="B295" s="9" t="n"/>
      <c r="C295" s="889" t="n"/>
      <c r="D295" s="889" t="n"/>
      <c r="E295" s="889" t="n"/>
      <c r="F295" s="889" t="n"/>
      <c r="G295" s="890" t="n"/>
      <c r="H295" s="890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</row>
    <row r="296">
      <c r="A296" s="9" t="n"/>
      <c r="B296" s="9" t="n"/>
      <c r="C296" s="889" t="n"/>
      <c r="D296" s="889" t="n"/>
      <c r="E296" s="889" t="n"/>
      <c r="F296" s="889" t="n"/>
      <c r="G296" s="890" t="n"/>
      <c r="H296" s="890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</row>
    <row r="297">
      <c r="A297" s="9" t="n"/>
      <c r="B297" s="9" t="n"/>
      <c r="C297" s="891" t="n"/>
      <c r="D297" s="889" t="n"/>
      <c r="E297" s="889" t="n"/>
      <c r="F297" s="889" t="n"/>
      <c r="G297" s="890" t="n"/>
      <c r="H297" s="890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</row>
    <row r="298">
      <c r="A298" s="9" t="n"/>
      <c r="B298" s="9" t="n"/>
      <c r="C298" s="891" t="n"/>
      <c r="D298" s="889" t="n"/>
      <c r="E298" s="889" t="n"/>
      <c r="F298" s="889" t="n"/>
      <c r="G298" s="890" t="n"/>
      <c r="H298" s="890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</row>
    <row r="301">
      <c r="A301" s="9" t="n"/>
      <c r="B301" s="9" t="n"/>
      <c r="C301" s="889" t="n"/>
      <c r="D301" s="889" t="n"/>
      <c r="E301" s="889" t="n"/>
      <c r="F301" s="889" t="n"/>
      <c r="G301" s="890" t="n"/>
      <c r="H301" s="890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</row>
    <row r="302">
      <c r="A302" s="9" t="n"/>
      <c r="B302" s="9" t="n"/>
      <c r="C302" s="889" t="n"/>
      <c r="D302" s="889" t="n"/>
      <c r="E302" s="889" t="n"/>
      <c r="F302" s="889" t="n"/>
      <c r="G302" s="890" t="n"/>
      <c r="H302" s="890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</row>
    <row r="303">
      <c r="A303" s="9" t="n"/>
      <c r="B303" s="9" t="n"/>
      <c r="C303" s="889" t="n"/>
      <c r="D303" s="889" t="n"/>
      <c r="E303" s="889" t="n"/>
      <c r="F303" s="889" t="n"/>
      <c r="G303" s="890" t="n"/>
      <c r="H303" s="890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</row>
    <row r="304">
      <c r="A304" s="9" t="n"/>
      <c r="B304" s="9" t="n"/>
      <c r="C304" s="889" t="n"/>
      <c r="D304" s="889" t="n"/>
      <c r="E304" s="889" t="n"/>
      <c r="F304" s="889" t="n"/>
      <c r="G304" s="890" t="n"/>
      <c r="H304" s="890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</row>
    <row r="305">
      <c r="A305" s="9" t="n"/>
      <c r="B305" s="9" t="n"/>
      <c r="C305" s="889" t="n"/>
      <c r="D305" s="889" t="n"/>
      <c r="E305" s="889" t="n"/>
      <c r="F305" s="889" t="n"/>
      <c r="G305" s="890" t="n"/>
      <c r="H305" s="890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</row>
    <row r="308">
      <c r="A308" s="9" t="n"/>
      <c r="B308" s="9" t="n"/>
      <c r="C308" s="889" t="n"/>
      <c r="D308" s="889" t="n"/>
      <c r="E308" s="889" t="n"/>
      <c r="F308" s="889" t="n"/>
      <c r="G308" s="890" t="n"/>
      <c r="H308" s="890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</row>
    <row r="309">
      <c r="A309" s="9" t="n"/>
      <c r="B309" s="9" t="n"/>
      <c r="C309" s="889" t="n"/>
      <c r="D309" s="889" t="n"/>
      <c r="E309" s="889" t="n"/>
      <c r="F309" s="889" t="n"/>
      <c r="G309" s="890" t="n"/>
      <c r="H309" s="890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</row>
    <row r="310">
      <c r="A310" s="9" t="n"/>
      <c r="B310" s="9" t="n"/>
      <c r="C310" s="889" t="n"/>
      <c r="D310" s="889" t="n"/>
      <c r="E310" s="889" t="n"/>
      <c r="F310" s="889" t="n"/>
      <c r="G310" s="890" t="n"/>
      <c r="H310" s="890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</row>
    <row r="311">
      <c r="A311" s="9" t="n"/>
      <c r="B311" s="9" t="n"/>
      <c r="C311" s="889" t="n"/>
      <c r="D311" s="889" t="n"/>
      <c r="E311" s="889" t="n"/>
      <c r="F311" s="889" t="n"/>
      <c r="G311" s="890" t="n"/>
      <c r="H311" s="890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</row>
    <row r="312">
      <c r="A312" s="9" t="n"/>
      <c r="B312" s="9" t="n"/>
      <c r="C312" s="889" t="n"/>
      <c r="D312" s="889" t="n"/>
      <c r="E312" s="889" t="n"/>
      <c r="F312" s="889" t="n"/>
      <c r="G312" s="890" t="n"/>
      <c r="H312" s="890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</row>
    <row r="315">
      <c r="A315" s="9" t="n"/>
      <c r="B315" s="9" t="n"/>
      <c r="C315" s="889" t="n"/>
      <c r="D315" s="889" t="n"/>
      <c r="E315" s="889" t="n"/>
      <c r="F315" s="889" t="n"/>
      <c r="G315" s="890" t="n"/>
      <c r="H315" s="890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</row>
    <row r="316">
      <c r="A316" s="9" t="n"/>
      <c r="B316" s="9" t="n"/>
      <c r="C316" s="889" t="n"/>
      <c r="D316" s="889" t="n"/>
      <c r="E316" s="889" t="n"/>
      <c r="F316" s="889" t="n"/>
      <c r="G316" s="890" t="n"/>
      <c r="H316" s="890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</row>
    <row r="317">
      <c r="A317" s="9" t="n"/>
      <c r="B317" s="9" t="n"/>
      <c r="C317" s="889" t="n"/>
      <c r="D317" s="889" t="n"/>
      <c r="E317" s="889" t="n"/>
      <c r="F317" s="889" t="n"/>
      <c r="G317" s="890" t="n"/>
      <c r="H317" s="890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</row>
    <row r="318">
      <c r="A318" s="9" t="n"/>
      <c r="B318" s="9" t="n"/>
      <c r="C318" s="889" t="n"/>
      <c r="D318" s="889" t="n"/>
      <c r="E318" s="889" t="n"/>
      <c r="F318" s="889" t="n"/>
      <c r="G318" s="890" t="n"/>
      <c r="H318" s="890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</row>
    <row r="319">
      <c r="A319" s="9" t="n"/>
      <c r="B319" s="9" t="n"/>
      <c r="C319" s="889" t="n"/>
      <c r="D319" s="889" t="n"/>
      <c r="E319" s="889" t="n"/>
      <c r="F319" s="889" t="n"/>
      <c r="G319" s="890" t="n"/>
      <c r="H319" s="890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</row>
  </sheetData>
  <mergeCells count="162">
    <mergeCell ref="L2:M2"/>
    <mergeCell ref="J164:M164"/>
    <mergeCell ref="J126:K126"/>
    <mergeCell ref="L246:M246"/>
    <mergeCell ref="A45:A48"/>
    <mergeCell ref="A241:B241"/>
    <mergeCell ref="A162:B162"/>
    <mergeCell ref="J204:M204"/>
    <mergeCell ref="L3:M3"/>
    <mergeCell ref="J166:K166"/>
    <mergeCell ref="L248:M248"/>
    <mergeCell ref="A41:B41"/>
    <mergeCell ref="A283:B283"/>
    <mergeCell ref="G3:G4"/>
    <mergeCell ref="L166:M166"/>
    <mergeCell ref="A243:B243"/>
    <mergeCell ref="C245:C247"/>
    <mergeCell ref="I3:I4"/>
    <mergeCell ref="J207:K207"/>
    <mergeCell ref="L5:M5"/>
    <mergeCell ref="J45:K45"/>
    <mergeCell ref="J44:M44"/>
    <mergeCell ref="L45:M45"/>
    <mergeCell ref="A163:B163"/>
    <mergeCell ref="J86:K86"/>
    <mergeCell ref="J4:K4"/>
    <mergeCell ref="L4:M4"/>
    <mergeCell ref="H45:I45"/>
    <mergeCell ref="A2:A5"/>
    <mergeCell ref="A42:B42"/>
    <mergeCell ref="J128:K128"/>
    <mergeCell ref="E165:E167"/>
    <mergeCell ref="J208:K208"/>
    <mergeCell ref="D2:D4"/>
    <mergeCell ref="G246:G247"/>
    <mergeCell ref="A240:B240"/>
    <mergeCell ref="A165:A168"/>
    <mergeCell ref="C205:C207"/>
    <mergeCell ref="E205:E207"/>
    <mergeCell ref="G86:G87"/>
    <mergeCell ref="I86:I87"/>
    <mergeCell ref="E45:E47"/>
    <mergeCell ref="J124:M124"/>
    <mergeCell ref="H165:I165"/>
    <mergeCell ref="J165:K165"/>
    <mergeCell ref="F245:F247"/>
    <mergeCell ref="J88:K88"/>
    <mergeCell ref="A281:B281"/>
    <mergeCell ref="A205:A208"/>
    <mergeCell ref="B2:B5"/>
    <mergeCell ref="C125:C127"/>
    <mergeCell ref="E125:E127"/>
    <mergeCell ref="J244:M244"/>
    <mergeCell ref="J245:K245"/>
    <mergeCell ref="A282:B282"/>
    <mergeCell ref="H85:I85"/>
    <mergeCell ref="D85:D87"/>
    <mergeCell ref="J206:K206"/>
    <mergeCell ref="J1:M1"/>
    <mergeCell ref="L206:M206"/>
    <mergeCell ref="H246:H247"/>
    <mergeCell ref="B245:B248"/>
    <mergeCell ref="J85:K85"/>
    <mergeCell ref="A242:B242"/>
    <mergeCell ref="J205:K205"/>
    <mergeCell ref="L85:M85"/>
    <mergeCell ref="G206:G207"/>
    <mergeCell ref="F205:F207"/>
    <mergeCell ref="B205:B208"/>
    <mergeCell ref="A203:B203"/>
    <mergeCell ref="J246:K246"/>
    <mergeCell ref="L167:M167"/>
    <mergeCell ref="J3:K3"/>
    <mergeCell ref="J125:K125"/>
    <mergeCell ref="E245:E247"/>
    <mergeCell ref="J46:K46"/>
    <mergeCell ref="H166:H167"/>
    <mergeCell ref="J248:K248"/>
    <mergeCell ref="L46:M46"/>
    <mergeCell ref="B45:B48"/>
    <mergeCell ref="D125:D127"/>
    <mergeCell ref="B125:B128"/>
    <mergeCell ref="J48:K48"/>
    <mergeCell ref="A83:B83"/>
    <mergeCell ref="L48:M48"/>
    <mergeCell ref="A245:A248"/>
    <mergeCell ref="G126:G127"/>
    <mergeCell ref="I126:I127"/>
    <mergeCell ref="L125:M125"/>
    <mergeCell ref="C2:C4"/>
    <mergeCell ref="D245:D247"/>
    <mergeCell ref="I206:I207"/>
    <mergeCell ref="C165:C167"/>
    <mergeCell ref="E85:E87"/>
    <mergeCell ref="L47:M47"/>
    <mergeCell ref="G166:G167"/>
    <mergeCell ref="L245:M245"/>
    <mergeCell ref="A80:B80"/>
    <mergeCell ref="A120:B120"/>
    <mergeCell ref="L126:M126"/>
    <mergeCell ref="L88:M88"/>
    <mergeCell ref="C45:C47"/>
    <mergeCell ref="H2:I2"/>
    <mergeCell ref="I166:I167"/>
    <mergeCell ref="H3:H4"/>
    <mergeCell ref="H86:H87"/>
    <mergeCell ref="J168:K168"/>
    <mergeCell ref="L168:M168"/>
    <mergeCell ref="A200:B200"/>
    <mergeCell ref="D45:D47"/>
    <mergeCell ref="F45:F47"/>
    <mergeCell ref="A280:B280"/>
    <mergeCell ref="A43:B43"/>
    <mergeCell ref="J2:K2"/>
    <mergeCell ref="F2:F4"/>
    <mergeCell ref="L207:M207"/>
    <mergeCell ref="A202:B202"/>
    <mergeCell ref="D165:D167"/>
    <mergeCell ref="L247:M247"/>
    <mergeCell ref="F165:F167"/>
    <mergeCell ref="A40:B40"/>
    <mergeCell ref="E2:E4"/>
    <mergeCell ref="L86:M86"/>
    <mergeCell ref="A201:B201"/>
    <mergeCell ref="A82:B82"/>
    <mergeCell ref="J5:K5"/>
    <mergeCell ref="H125:I125"/>
    <mergeCell ref="J247:K247"/>
    <mergeCell ref="H205:I205"/>
    <mergeCell ref="B165:B168"/>
    <mergeCell ref="D205:D207"/>
    <mergeCell ref="A123:B123"/>
    <mergeCell ref="L208:M208"/>
    <mergeCell ref="J127:K127"/>
    <mergeCell ref="J167:K167"/>
    <mergeCell ref="L165:M165"/>
    <mergeCell ref="J87:K87"/>
    <mergeCell ref="L205:M205"/>
    <mergeCell ref="L87:M87"/>
    <mergeCell ref="H46:H47"/>
    <mergeCell ref="L127:M127"/>
    <mergeCell ref="A85:A88"/>
    <mergeCell ref="J84:M84"/>
    <mergeCell ref="A160:B160"/>
    <mergeCell ref="L128:M128"/>
    <mergeCell ref="C85:C87"/>
    <mergeCell ref="A125:A128"/>
    <mergeCell ref="J47:K47"/>
    <mergeCell ref="A122:B122"/>
    <mergeCell ref="I246:I247"/>
    <mergeCell ref="H245:I245"/>
    <mergeCell ref="H126:H127"/>
    <mergeCell ref="A81:B81"/>
    <mergeCell ref="A121:B121"/>
    <mergeCell ref="H206:H207"/>
    <mergeCell ref="A161:B161"/>
    <mergeCell ref="N2:N4"/>
    <mergeCell ref="G46:G47"/>
    <mergeCell ref="F85:F87"/>
    <mergeCell ref="B85:B88"/>
    <mergeCell ref="I46:I47"/>
    <mergeCell ref="F125:F127"/>
  </mergeCells>
  <printOptions horizontalCentered="1" verticalCentered="1"/>
  <pageMargins left="0.7874015748031497" right="1.062992125984252" top="0.7874015748031497" bottom="0.3937007874015748" header="0.5118110236220472" footer="0.5118110236220472"/>
  <pageSetup orientation="landscape" paperSize="9" scale="87"/>
  <rowBreaks count="1" manualBreakCount="1">
    <brk id="83" min="0" max="16383" man="1"/>
  </rowBreaks>
</worksheet>
</file>

<file path=xl/worksheets/sheet3.xml><?xml version="1.0" encoding="utf-8"?>
<worksheet xmlns="http://schemas.openxmlformats.org/spreadsheetml/2006/main">
  <sheetPr>
    <tabColor theme="4"/>
    <outlinePr summaryBelow="1" summaryRight="1"/>
    <pageSetUpPr/>
  </sheetPr>
  <dimension ref="A1:Z121"/>
  <sheetViews>
    <sheetView view="pageBreakPreview" zoomScale="110" zoomScaleNormal="100" zoomScaleSheetLayoutView="110" workbookViewId="0">
      <pane xSplit="2" topLeftCell="C1" activePane="topRight" state="frozen"/>
      <selection pane="topRight" activeCell="J12" sqref="J12"/>
    </sheetView>
  </sheetViews>
  <sheetFormatPr baseColWidth="8" defaultColWidth="9" defaultRowHeight="13"/>
  <cols>
    <col width="4.1640625" customWidth="1" style="688" min="1" max="2"/>
    <col width="8.1640625" customWidth="1" style="571" min="3" max="19"/>
    <col width="9" customWidth="1" style="571" min="20" max="20"/>
    <col width="9" customWidth="1" style="571" min="21" max="16384"/>
  </cols>
  <sheetData>
    <row r="1" ht="22" customHeight="1">
      <c r="A1" s="186" t="inlineStr">
        <is>
          <t>筒賀水質管理センター水質管理月報（１/２）</t>
        </is>
      </c>
      <c r="B1" s="187" t="n"/>
      <c r="C1" s="188" t="n"/>
      <c r="D1" s="188" t="n"/>
      <c r="E1" s="188" t="n"/>
      <c r="F1" s="188" t="n"/>
      <c r="G1" s="188" t="n"/>
      <c r="H1" s="188" t="n"/>
      <c r="I1" s="188" t="n"/>
      <c r="J1" s="188" t="n"/>
      <c r="K1" s="188" t="n"/>
      <c r="L1" s="188" t="n"/>
      <c r="M1" s="188" t="n"/>
      <c r="N1" s="188" t="n"/>
      <c r="O1" s="188" t="n"/>
      <c r="P1" s="715">
        <f>運転管理月報!J1</f>
        <v/>
      </c>
      <c r="Q1" s="598" t="n"/>
      <c r="R1" s="598" t="n"/>
      <c r="S1" s="128" t="n"/>
      <c r="T1" s="9" t="n"/>
      <c r="U1" s="9" t="n"/>
      <c r="V1" s="9" t="n"/>
      <c r="W1" s="9" t="n"/>
      <c r="X1" s="9" t="n"/>
      <c r="Y1" s="9" t="n"/>
      <c r="Z1" s="9" t="n"/>
    </row>
    <row r="2">
      <c r="A2" s="187" t="n"/>
      <c r="B2" s="187" t="n"/>
      <c r="C2" s="188" t="n"/>
      <c r="D2" s="188" t="n"/>
      <c r="E2" s="188" t="n"/>
      <c r="F2" s="188" t="n"/>
      <c r="G2" s="188" t="n"/>
      <c r="H2" s="188" t="n"/>
      <c r="I2" s="188" t="n"/>
      <c r="J2" s="188" t="n"/>
      <c r="K2" s="188" t="n"/>
      <c r="L2" s="188" t="n"/>
      <c r="M2" s="188" t="n"/>
      <c r="N2" s="188" t="n"/>
      <c r="O2" s="188" t="n"/>
      <c r="P2" s="188" t="n"/>
      <c r="Q2" s="188" t="n"/>
      <c r="R2" s="188" t="n"/>
      <c r="S2" s="128" t="n"/>
      <c r="T2" s="9" t="n"/>
      <c r="U2" s="9" t="n"/>
      <c r="V2" s="9" t="n"/>
      <c r="W2" s="9" t="n"/>
      <c r="X2" s="9" t="n"/>
      <c r="Y2" s="9" t="n"/>
      <c r="Z2" s="9" t="n"/>
    </row>
    <row r="3" ht="18" customHeight="1">
      <c r="A3" s="700" t="inlineStr">
        <is>
          <t>日付</t>
        </is>
      </c>
      <c r="B3" s="710" t="inlineStr">
        <is>
          <t>曜日</t>
        </is>
      </c>
      <c r="C3" s="694" t="inlineStr">
        <is>
          <t>水温</t>
        </is>
      </c>
      <c r="D3" s="586" t="n"/>
      <c r="E3" s="586" t="n"/>
      <c r="F3" s="586" t="n"/>
      <c r="G3" s="586" t="n"/>
      <c r="H3" s="586" t="n"/>
      <c r="I3" s="698" t="inlineStr">
        <is>
          <t>外観</t>
        </is>
      </c>
      <c r="J3" s="586" t="n"/>
      <c r="K3" s="586" t="n"/>
      <c r="L3" s="586" t="n"/>
      <c r="M3" s="586" t="n"/>
      <c r="N3" s="586" t="n"/>
      <c r="O3" s="702" t="inlineStr">
        <is>
          <t>透視度</t>
        </is>
      </c>
      <c r="P3" s="586" t="n"/>
      <c r="Q3" s="586" t="n"/>
      <c r="R3" s="587" t="n"/>
      <c r="S3" s="128" t="n"/>
      <c r="T3" s="9" t="n"/>
      <c r="U3" s="190" t="n"/>
      <c r="V3" s="190" t="n"/>
      <c r="W3" s="190" t="n"/>
      <c r="X3" s="890" t="n"/>
      <c r="Y3" s="890" t="n"/>
      <c r="Z3" s="890" t="n"/>
    </row>
    <row r="4" ht="18" customHeight="1">
      <c r="A4" s="613" t="n"/>
      <c r="B4" s="602" t="n"/>
      <c r="C4" s="723" t="inlineStr">
        <is>
          <t>（５回/週）</t>
        </is>
      </c>
      <c r="I4" s="705" t="inlineStr">
        <is>
          <t>（５回/週）</t>
        </is>
      </c>
      <c r="O4" s="704" t="inlineStr">
        <is>
          <t>（５回/週）</t>
        </is>
      </c>
      <c r="R4" s="602" t="n"/>
      <c r="S4" s="128" t="n"/>
      <c r="T4" s="9" t="n"/>
      <c r="U4" s="9" t="n"/>
      <c r="V4" s="9" t="n"/>
      <c r="W4" s="9" t="n"/>
      <c r="X4" s="9" t="n"/>
      <c r="Y4" s="9" t="n"/>
      <c r="Z4" s="9" t="n"/>
    </row>
    <row r="5" ht="18" customHeight="1">
      <c r="A5" s="613" t="n"/>
      <c r="B5" s="602" t="n"/>
      <c r="C5" s="716" t="inlineStr">
        <is>
          <t>℃</t>
        </is>
      </c>
      <c r="D5" s="598" t="n"/>
      <c r="E5" s="598" t="n"/>
      <c r="F5" s="598" t="n"/>
      <c r="G5" s="598" t="n"/>
      <c r="H5" s="598" t="n"/>
      <c r="I5" s="701" t="inlineStr">
        <is>
          <t>―</t>
        </is>
      </c>
      <c r="J5" s="598" t="n"/>
      <c r="K5" s="598" t="n"/>
      <c r="L5" s="598" t="n"/>
      <c r="M5" s="598" t="n"/>
      <c r="N5" s="598" t="n"/>
      <c r="O5" s="709" t="inlineStr">
        <is>
          <t>cm</t>
        </is>
      </c>
      <c r="P5" s="598" t="n"/>
      <c r="Q5" s="598" t="n"/>
      <c r="R5" s="591" t="n"/>
      <c r="S5" s="128" t="n"/>
      <c r="T5" s="9" t="n"/>
      <c r="U5" s="9" t="n"/>
      <c r="V5" s="9" t="n"/>
      <c r="W5" s="9" t="n"/>
      <c r="X5" s="9" t="n"/>
      <c r="Y5" s="9" t="n"/>
      <c r="Z5" s="9" t="n"/>
    </row>
    <row r="6">
      <c r="A6" s="613" t="n"/>
      <c r="B6" s="602" t="n"/>
      <c r="C6" s="690" t="inlineStr">
        <is>
          <t>流入</t>
        </is>
      </c>
      <c r="D6" s="690" t="inlineStr">
        <is>
          <t>No．１</t>
        </is>
      </c>
      <c r="E6" s="690" t="inlineStr">
        <is>
          <t>No．２</t>
        </is>
      </c>
      <c r="F6" s="690" t="inlineStr">
        <is>
          <t>No．１</t>
        </is>
      </c>
      <c r="G6" s="690" t="inlineStr">
        <is>
          <t>No．２</t>
        </is>
      </c>
      <c r="H6" s="694" t="inlineStr">
        <is>
          <t>放流水</t>
        </is>
      </c>
      <c r="I6" s="721" t="inlineStr">
        <is>
          <t>流入</t>
        </is>
      </c>
      <c r="J6" s="690" t="inlineStr">
        <is>
          <t>No．１</t>
        </is>
      </c>
      <c r="K6" s="690" t="inlineStr">
        <is>
          <t>No．２</t>
        </is>
      </c>
      <c r="L6" s="690" t="inlineStr">
        <is>
          <t>No．１</t>
        </is>
      </c>
      <c r="M6" s="690" t="inlineStr">
        <is>
          <t>No．２</t>
        </is>
      </c>
      <c r="N6" s="711" t="inlineStr">
        <is>
          <t>放流水</t>
        </is>
      </c>
      <c r="O6" s="724" t="inlineStr">
        <is>
          <t>流入</t>
        </is>
      </c>
      <c r="P6" s="697" t="inlineStr">
        <is>
          <t>No.1　　　終沈</t>
        </is>
      </c>
      <c r="Q6" s="697" t="inlineStr">
        <is>
          <t>No.2　　　終沈</t>
        </is>
      </c>
      <c r="R6" s="699" t="inlineStr">
        <is>
          <t>放流</t>
        </is>
      </c>
      <c r="S6" s="128" t="n"/>
      <c r="T6" s="9" t="n"/>
      <c r="U6" s="9" t="n"/>
      <c r="V6" s="9" t="n"/>
      <c r="W6" s="9" t="n"/>
      <c r="X6" s="9" t="n"/>
      <c r="Y6" s="9" t="n"/>
      <c r="Z6" s="9" t="n"/>
    </row>
    <row r="7" ht="15" customHeight="1" thickBot="1">
      <c r="A7" s="613" t="n"/>
      <c r="B7" s="602" t="n"/>
      <c r="C7" s="679" t="n"/>
      <c r="D7" s="717" t="inlineStr">
        <is>
          <t>ディッチ</t>
        </is>
      </c>
      <c r="E7" s="717" t="inlineStr">
        <is>
          <t>ディッチ</t>
        </is>
      </c>
      <c r="F7" s="717" t="inlineStr">
        <is>
          <t>終沈</t>
        </is>
      </c>
      <c r="G7" s="717" t="inlineStr">
        <is>
          <t>終沈</t>
        </is>
      </c>
      <c r="H7" s="613" t="n"/>
      <c r="I7" s="722" t="n"/>
      <c r="J7" s="194" t="inlineStr">
        <is>
          <t>ディッチ</t>
        </is>
      </c>
      <c r="K7" s="194" t="inlineStr">
        <is>
          <t>ディッチ</t>
        </is>
      </c>
      <c r="L7" s="194" t="inlineStr">
        <is>
          <t>終沈</t>
        </is>
      </c>
      <c r="M7" s="194" t="inlineStr">
        <is>
          <t>終沈</t>
        </is>
      </c>
      <c r="N7" s="712" t="n"/>
      <c r="O7" s="725" t="n"/>
      <c r="P7" s="626" t="n"/>
      <c r="Q7" s="626" t="n"/>
      <c r="R7" s="626" t="n"/>
      <c r="S7" s="128" t="n"/>
      <c r="T7" s="9" t="n"/>
      <c r="U7" s="9" t="n"/>
      <c r="V7" s="9" t="n"/>
      <c r="W7" s="9" t="n"/>
      <c r="X7" s="9" t="n"/>
      <c r="Y7" s="9" t="n"/>
      <c r="Z7" s="9" t="n"/>
    </row>
    <row r="8" ht="15" customHeight="1" thickTop="1">
      <c r="A8" s="892">
        <f>運転管理月報!A6</f>
        <v/>
      </c>
      <c r="B8" s="848">
        <f>TEXT(A8,"aaa")</f>
        <v/>
      </c>
      <c r="C8" s="893" t="n"/>
      <c r="D8" s="893" t="n"/>
      <c r="E8" s="893" t="n"/>
      <c r="F8" s="894" t="n"/>
      <c r="G8" s="894" t="n"/>
      <c r="H8" s="895" t="n"/>
      <c r="I8" s="199" t="n"/>
      <c r="J8" s="200" t="n"/>
      <c r="K8" s="200" t="n"/>
      <c r="L8" s="896" t="n"/>
      <c r="M8" s="896" t="n"/>
      <c r="N8" s="897" t="n"/>
      <c r="O8" s="898" t="n"/>
      <c r="P8" s="899" t="n"/>
      <c r="Q8" s="899" t="n"/>
      <c r="R8" s="899" t="n"/>
      <c r="S8" s="128" t="n"/>
      <c r="T8" s="9" t="n"/>
      <c r="U8" s="9" t="n"/>
      <c r="V8" s="9" t="n"/>
      <c r="W8" s="9" t="n"/>
      <c r="X8" s="9" t="n"/>
      <c r="Y8" s="9" t="n"/>
      <c r="Z8" s="9" t="n"/>
    </row>
    <row r="9">
      <c r="A9" s="900">
        <f>A8+1</f>
        <v/>
      </c>
      <c r="B9" s="856">
        <f>TEXT(A9,"aaa")</f>
        <v/>
      </c>
      <c r="C9" s="901" t="n"/>
      <c r="D9" s="901" t="n"/>
      <c r="E9" s="901" t="n"/>
      <c r="F9" s="902" t="n"/>
      <c r="G9" s="902" t="n"/>
      <c r="H9" s="903" t="n"/>
      <c r="I9" s="209" t="inlineStr">
        <is>
          <t>黄灰色</t>
        </is>
      </c>
      <c r="J9" s="210" t="inlineStr">
        <is>
          <t>茶色</t>
        </is>
      </c>
      <c r="K9" s="210" t="inlineStr">
        <is>
          <t>茶色</t>
        </is>
      </c>
      <c r="L9" s="901" t="inlineStr">
        <is>
          <t>透明</t>
        </is>
      </c>
      <c r="M9" s="901" t="inlineStr">
        <is>
          <t>透明</t>
        </is>
      </c>
      <c r="N9" s="904" t="inlineStr">
        <is>
          <t>透明</t>
        </is>
      </c>
      <c r="O9" s="905" t="n"/>
      <c r="P9" s="906" t="n"/>
      <c r="Q9" s="906" t="n"/>
      <c r="R9" s="907" t="n"/>
      <c r="S9" s="128" t="n"/>
      <c r="T9" s="40" t="n"/>
      <c r="U9" s="40" t="n"/>
      <c r="V9" s="9" t="n"/>
      <c r="W9" s="9" t="n"/>
      <c r="X9" s="9" t="n"/>
      <c r="Y9" s="9" t="n"/>
      <c r="Z9" s="9" t="n"/>
    </row>
    <row r="10">
      <c r="A10" s="900">
        <f>A9+1</f>
        <v/>
      </c>
      <c r="B10" s="856">
        <f>TEXT(A10,"aaa")</f>
        <v/>
      </c>
      <c r="C10" s="901" t="n"/>
      <c r="D10" s="901" t="n"/>
      <c r="E10" s="901" t="n"/>
      <c r="F10" s="902" t="n"/>
      <c r="G10" s="902" t="n"/>
      <c r="H10" s="903" t="n"/>
      <c r="I10" s="209" t="inlineStr">
        <is>
          <t>黄灰色</t>
        </is>
      </c>
      <c r="J10" s="210" t="inlineStr">
        <is>
          <t>茶色</t>
        </is>
      </c>
      <c r="K10" s="210" t="inlineStr">
        <is>
          <t>茶色</t>
        </is>
      </c>
      <c r="L10" s="901" t="inlineStr">
        <is>
          <t>透明</t>
        </is>
      </c>
      <c r="M10" s="901" t="inlineStr">
        <is>
          <t>透明</t>
        </is>
      </c>
      <c r="N10" s="904" t="inlineStr">
        <is>
          <t>透明</t>
        </is>
      </c>
      <c r="O10" s="905" t="n"/>
      <c r="P10" s="906" t="n"/>
      <c r="Q10" s="906" t="n"/>
      <c r="R10" s="907" t="n"/>
      <c r="S10" s="128" t="n"/>
      <c r="T10" s="9" t="n"/>
      <c r="U10" s="9" t="n"/>
      <c r="V10" s="9" t="n"/>
      <c r="W10" s="9" t="n"/>
      <c r="X10" s="9" t="n"/>
      <c r="Y10" s="9" t="n"/>
      <c r="Z10" s="9" t="n"/>
    </row>
    <row r="11">
      <c r="A11" s="900">
        <f>A10+1</f>
        <v/>
      </c>
      <c r="B11" s="856">
        <f>TEXT(A11,"aaa")</f>
        <v/>
      </c>
      <c r="C11" s="901" t="n"/>
      <c r="D11" s="901" t="n"/>
      <c r="E11" s="901" t="n"/>
      <c r="F11" s="902" t="n"/>
      <c r="G11" s="902" t="n"/>
      <c r="H11" s="903" t="n"/>
      <c r="I11" s="209" t="inlineStr">
        <is>
          <t>黄灰色</t>
        </is>
      </c>
      <c r="J11" s="210" t="inlineStr">
        <is>
          <t>茶色</t>
        </is>
      </c>
      <c r="K11" s="210" t="inlineStr">
        <is>
          <t>茶色</t>
        </is>
      </c>
      <c r="L11" s="901" t="inlineStr">
        <is>
          <t>透明</t>
        </is>
      </c>
      <c r="M11" s="901" t="inlineStr">
        <is>
          <t>透明</t>
        </is>
      </c>
      <c r="N11" s="904" t="inlineStr">
        <is>
          <t>透明</t>
        </is>
      </c>
      <c r="O11" s="905" t="n"/>
      <c r="P11" s="906" t="n"/>
      <c r="Q11" s="906" t="n"/>
      <c r="R11" s="907" t="n"/>
      <c r="S11" s="128" t="n"/>
      <c r="T11" s="40" t="n"/>
      <c r="U11" s="9" t="n"/>
      <c r="V11" s="9" t="n"/>
      <c r="W11" s="9" t="n"/>
      <c r="X11" s="9" t="n"/>
      <c r="Y11" s="9" t="n"/>
      <c r="Z11" s="9" t="n"/>
    </row>
    <row r="12">
      <c r="A12" s="900">
        <f>A11+1</f>
        <v/>
      </c>
      <c r="B12" s="856">
        <f>TEXT(A12,"aaa")</f>
        <v/>
      </c>
      <c r="C12" s="901" t="n"/>
      <c r="D12" s="901" t="n"/>
      <c r="E12" s="901" t="n"/>
      <c r="F12" s="902" t="n"/>
      <c r="G12" s="902" t="n"/>
      <c r="H12" s="903" t="n"/>
      <c r="I12" s="209" t="inlineStr">
        <is>
          <t>黄灰色</t>
        </is>
      </c>
      <c r="J12" s="210" t="inlineStr">
        <is>
          <t>茶色</t>
        </is>
      </c>
      <c r="K12" s="210" t="inlineStr">
        <is>
          <t>茶色</t>
        </is>
      </c>
      <c r="L12" s="901" t="inlineStr">
        <is>
          <t>透明</t>
        </is>
      </c>
      <c r="M12" s="901" t="inlineStr">
        <is>
          <t>透明</t>
        </is>
      </c>
      <c r="N12" s="904" t="inlineStr">
        <is>
          <t>透明</t>
        </is>
      </c>
      <c r="O12" s="905" t="n"/>
      <c r="P12" s="906" t="n"/>
      <c r="Q12" s="906" t="n"/>
      <c r="R12" s="907" t="n"/>
      <c r="S12" s="128" t="n"/>
      <c r="T12" s="9" t="n"/>
      <c r="U12" s="9" t="n"/>
      <c r="V12" s="9" t="n"/>
      <c r="W12" s="9" t="n"/>
      <c r="X12" s="9" t="n"/>
      <c r="Y12" s="9" t="n"/>
      <c r="Z12" s="9" t="n"/>
    </row>
    <row r="13">
      <c r="A13" s="900">
        <f>A12+1</f>
        <v/>
      </c>
      <c r="B13" s="856">
        <f>TEXT(A13,"aaa")</f>
        <v/>
      </c>
      <c r="C13" s="901" t="n"/>
      <c r="D13" s="901" t="n"/>
      <c r="E13" s="901" t="n"/>
      <c r="F13" s="902" t="n"/>
      <c r="G13" s="902" t="n"/>
      <c r="H13" s="903" t="n"/>
      <c r="I13" s="209" t="inlineStr">
        <is>
          <t>黄灰色</t>
        </is>
      </c>
      <c r="J13" s="210" t="inlineStr">
        <is>
          <t>茶色</t>
        </is>
      </c>
      <c r="K13" s="210" t="inlineStr">
        <is>
          <t>茶色</t>
        </is>
      </c>
      <c r="L13" s="901" t="inlineStr">
        <is>
          <t>透明</t>
        </is>
      </c>
      <c r="M13" s="901" t="inlineStr">
        <is>
          <t>透明</t>
        </is>
      </c>
      <c r="N13" s="904" t="inlineStr">
        <is>
          <t>透明</t>
        </is>
      </c>
      <c r="O13" s="905" t="n"/>
      <c r="P13" s="906" t="n"/>
      <c r="Q13" s="906" t="n"/>
      <c r="R13" s="907" t="n"/>
      <c r="S13" s="128" t="n"/>
      <c r="T13" s="40" t="n"/>
      <c r="U13" s="9" t="n"/>
      <c r="V13" s="9" t="n"/>
      <c r="W13" s="9" t="n"/>
      <c r="X13" s="9" t="n"/>
      <c r="Y13" s="9" t="n"/>
      <c r="Z13" s="9" t="n"/>
    </row>
    <row r="14">
      <c r="A14" s="900">
        <f>A13+1</f>
        <v/>
      </c>
      <c r="B14" s="856">
        <f>TEXT(A14,"aaa")</f>
        <v/>
      </c>
      <c r="C14" s="901" t="n"/>
      <c r="D14" s="901" t="n"/>
      <c r="E14" s="901" t="n"/>
      <c r="F14" s="863" t="n"/>
      <c r="G14" s="863" t="n"/>
      <c r="H14" s="903" t="n"/>
      <c r="I14" s="209" t="n"/>
      <c r="J14" s="210" t="n"/>
      <c r="K14" s="210" t="n"/>
      <c r="L14" s="901" t="n"/>
      <c r="M14" s="901" t="n"/>
      <c r="N14" s="904" t="n"/>
      <c r="O14" s="905" t="n"/>
      <c r="P14" s="907" t="n"/>
      <c r="Q14" s="907" t="n"/>
      <c r="R14" s="907" t="n"/>
      <c r="S14" s="128" t="n"/>
      <c r="T14" s="40" t="n"/>
      <c r="U14" s="9" t="n"/>
      <c r="V14" s="9" t="n"/>
      <c r="W14" s="9" t="n"/>
      <c r="X14" s="9" t="n"/>
      <c r="Y14" s="9" t="n"/>
      <c r="Z14" s="9" t="n"/>
    </row>
    <row r="15">
      <c r="A15" s="900">
        <f>A14+1</f>
        <v/>
      </c>
      <c r="B15" s="856">
        <f>TEXT(A15,"aaa")</f>
        <v/>
      </c>
      <c r="C15" s="901" t="n"/>
      <c r="D15" s="901" t="n"/>
      <c r="E15" s="901" t="n"/>
      <c r="F15" s="863" t="n"/>
      <c r="G15" s="863" t="n"/>
      <c r="H15" s="903" t="n"/>
      <c r="I15" s="209" t="n"/>
      <c r="J15" s="210" t="n"/>
      <c r="K15" s="210" t="n"/>
      <c r="L15" s="901" t="n"/>
      <c r="M15" s="901" t="n"/>
      <c r="N15" s="904" t="n"/>
      <c r="O15" s="905" t="n"/>
      <c r="P15" s="907" t="n"/>
      <c r="Q15" s="907" t="n"/>
      <c r="R15" s="907" t="n"/>
      <c r="S15" s="128" t="n"/>
      <c r="T15" s="40" t="n"/>
      <c r="U15" s="9" t="n"/>
      <c r="V15" s="9" t="n"/>
      <c r="W15" s="9" t="n"/>
      <c r="X15" s="9" t="n"/>
      <c r="Y15" s="9" t="n"/>
      <c r="Z15" s="9" t="n"/>
    </row>
    <row r="16">
      <c r="A16" s="900">
        <f>A15+1</f>
        <v/>
      </c>
      <c r="B16" s="856">
        <f>TEXT(A16,"aaa")</f>
        <v/>
      </c>
      <c r="C16" s="901" t="n"/>
      <c r="D16" s="901" t="n"/>
      <c r="E16" s="901" t="n"/>
      <c r="F16" s="902" t="n"/>
      <c r="G16" s="902" t="n"/>
      <c r="H16" s="903" t="n"/>
      <c r="I16" s="209" t="inlineStr">
        <is>
          <t>黄灰色</t>
        </is>
      </c>
      <c r="J16" s="210" t="inlineStr">
        <is>
          <t>茶色</t>
        </is>
      </c>
      <c r="K16" s="210" t="inlineStr">
        <is>
          <t>茶色</t>
        </is>
      </c>
      <c r="L16" s="901" t="inlineStr">
        <is>
          <t>透明</t>
        </is>
      </c>
      <c r="M16" s="901" t="inlineStr">
        <is>
          <t>透明</t>
        </is>
      </c>
      <c r="N16" s="904" t="inlineStr">
        <is>
          <t>透明</t>
        </is>
      </c>
      <c r="O16" s="905" t="n"/>
      <c r="P16" s="906" t="n"/>
      <c r="Q16" s="906" t="n"/>
      <c r="R16" s="907" t="n"/>
      <c r="S16" s="128" t="n"/>
      <c r="T16" s="40" t="n"/>
      <c r="U16" s="9" t="n"/>
      <c r="V16" s="9" t="n"/>
      <c r="W16" s="9" t="n"/>
      <c r="X16" s="9" t="n"/>
      <c r="Y16" s="9" t="n"/>
      <c r="Z16" s="9" t="n"/>
    </row>
    <row r="17">
      <c r="A17" s="900">
        <f>A16+1</f>
        <v/>
      </c>
      <c r="B17" s="856">
        <f>TEXT(A17,"aaa")</f>
        <v/>
      </c>
      <c r="C17" s="901" t="n"/>
      <c r="D17" s="901" t="n"/>
      <c r="E17" s="901" t="n"/>
      <c r="F17" s="902" t="n"/>
      <c r="G17" s="902" t="n"/>
      <c r="H17" s="903" t="n"/>
      <c r="I17" s="209" t="inlineStr">
        <is>
          <t>黄灰色</t>
        </is>
      </c>
      <c r="J17" s="210" t="inlineStr">
        <is>
          <t>茶色</t>
        </is>
      </c>
      <c r="K17" s="210" t="inlineStr">
        <is>
          <t>茶色</t>
        </is>
      </c>
      <c r="L17" s="901" t="inlineStr">
        <is>
          <t>透明</t>
        </is>
      </c>
      <c r="M17" s="901" t="inlineStr">
        <is>
          <t>透明</t>
        </is>
      </c>
      <c r="N17" s="904" t="inlineStr">
        <is>
          <t>透明</t>
        </is>
      </c>
      <c r="O17" s="905" t="n"/>
      <c r="P17" s="906" t="n"/>
      <c r="Q17" s="906" t="n"/>
      <c r="R17" s="907" t="n"/>
      <c r="S17" s="128" t="n"/>
      <c r="T17" s="40" t="n"/>
      <c r="U17" s="9" t="n"/>
      <c r="V17" s="9" t="n"/>
      <c r="W17" s="9" t="n"/>
      <c r="X17" s="9" t="n"/>
      <c r="Y17" s="9" t="n"/>
      <c r="Z17" s="9" t="n"/>
    </row>
    <row r="18">
      <c r="A18" s="900">
        <f>A17+1</f>
        <v/>
      </c>
      <c r="B18" s="856">
        <f>TEXT(A18,"aaa")</f>
        <v/>
      </c>
      <c r="C18" s="901" t="n"/>
      <c r="D18" s="901" t="n"/>
      <c r="E18" s="901" t="n"/>
      <c r="F18" s="902" t="n"/>
      <c r="G18" s="908" t="n"/>
      <c r="H18" s="903" t="n"/>
      <c r="I18" s="209" t="inlineStr">
        <is>
          <t>黄灰色</t>
        </is>
      </c>
      <c r="J18" s="210" t="inlineStr">
        <is>
          <t>茶色</t>
        </is>
      </c>
      <c r="K18" s="210" t="inlineStr">
        <is>
          <t>茶色</t>
        </is>
      </c>
      <c r="L18" s="901" t="inlineStr">
        <is>
          <t>透明</t>
        </is>
      </c>
      <c r="M18" s="901" t="inlineStr">
        <is>
          <t>透明</t>
        </is>
      </c>
      <c r="N18" s="904" t="inlineStr">
        <is>
          <t>透明</t>
        </is>
      </c>
      <c r="O18" s="905" t="n"/>
      <c r="P18" s="906" t="n"/>
      <c r="Q18" s="906" t="n"/>
      <c r="R18" s="907" t="n"/>
      <c r="S18" s="128" t="n"/>
      <c r="T18" s="9" t="n"/>
      <c r="U18" s="9" t="n"/>
      <c r="V18" s="9" t="n"/>
      <c r="W18" s="9" t="n"/>
      <c r="X18" s="9" t="n"/>
      <c r="Y18" s="9" t="n"/>
      <c r="Z18" s="9" t="n"/>
    </row>
    <row r="19">
      <c r="A19" s="900">
        <f>A18+1</f>
        <v/>
      </c>
      <c r="B19" s="856">
        <f>TEXT(A19,"aaa")</f>
        <v/>
      </c>
      <c r="C19" s="901" t="n"/>
      <c r="D19" s="901" t="n"/>
      <c r="E19" s="901" t="n"/>
      <c r="F19" s="902" t="n"/>
      <c r="G19" s="908" t="n"/>
      <c r="H19" s="903" t="n"/>
      <c r="I19" s="209" t="inlineStr">
        <is>
          <t>黄灰色</t>
        </is>
      </c>
      <c r="J19" s="210" t="inlineStr">
        <is>
          <t>茶色</t>
        </is>
      </c>
      <c r="K19" s="210" t="inlineStr">
        <is>
          <t>茶色</t>
        </is>
      </c>
      <c r="L19" s="901" t="inlineStr">
        <is>
          <t>透明</t>
        </is>
      </c>
      <c r="M19" s="901" t="inlineStr">
        <is>
          <t>透明</t>
        </is>
      </c>
      <c r="N19" s="904" t="inlineStr">
        <is>
          <t>透明</t>
        </is>
      </c>
      <c r="O19" s="905" t="n"/>
      <c r="P19" s="906" t="n"/>
      <c r="Q19" s="906" t="n"/>
      <c r="R19" s="907" t="n"/>
      <c r="S19" s="128" t="n"/>
      <c r="T19" s="40" t="n"/>
      <c r="U19" s="9" t="n"/>
      <c r="V19" s="9" t="n"/>
      <c r="W19" s="9" t="n"/>
      <c r="X19" s="9" t="n"/>
      <c r="Y19" s="9" t="n"/>
      <c r="Z19" s="9" t="n"/>
    </row>
    <row r="20">
      <c r="A20" s="900">
        <f>A19+1</f>
        <v/>
      </c>
      <c r="B20" s="856">
        <f>TEXT(A20,"aaa")</f>
        <v/>
      </c>
      <c r="C20" s="901" t="n"/>
      <c r="D20" s="901" t="n"/>
      <c r="E20" s="901" t="n"/>
      <c r="F20" s="902" t="n"/>
      <c r="G20" s="908" t="n"/>
      <c r="H20" s="903" t="n"/>
      <c r="I20" s="209" t="inlineStr">
        <is>
          <t>黄灰色</t>
        </is>
      </c>
      <c r="J20" s="210" t="inlineStr">
        <is>
          <t>茶色</t>
        </is>
      </c>
      <c r="K20" s="210" t="inlineStr">
        <is>
          <t>茶色</t>
        </is>
      </c>
      <c r="L20" s="901" t="inlineStr">
        <is>
          <t>透明</t>
        </is>
      </c>
      <c r="M20" s="901" t="inlineStr">
        <is>
          <t>透明</t>
        </is>
      </c>
      <c r="N20" s="904" t="inlineStr">
        <is>
          <t>透明</t>
        </is>
      </c>
      <c r="O20" s="905" t="n"/>
      <c r="P20" s="906" t="n"/>
      <c r="Q20" s="906" t="n"/>
      <c r="R20" s="907" t="n"/>
      <c r="S20" s="128" t="n"/>
      <c r="T20" s="9" t="n"/>
      <c r="U20" s="9" t="n"/>
      <c r="V20" s="9" t="n"/>
      <c r="W20" s="9" t="n"/>
      <c r="X20" s="9" t="n"/>
      <c r="Y20" s="9" t="n"/>
      <c r="Z20" s="9" t="n"/>
    </row>
    <row r="21">
      <c r="A21" s="900">
        <f>A20+1</f>
        <v/>
      </c>
      <c r="B21" s="856">
        <f>TEXT(A21,"aaa")</f>
        <v/>
      </c>
      <c r="C21" s="901" t="n"/>
      <c r="D21" s="901" t="n"/>
      <c r="E21" s="901" t="n"/>
      <c r="F21" s="863" t="n"/>
      <c r="G21" s="858" t="n"/>
      <c r="H21" s="903" t="n"/>
      <c r="I21" s="209" t="n"/>
      <c r="J21" s="210" t="n"/>
      <c r="K21" s="210" t="n"/>
      <c r="L21" s="901" t="n"/>
      <c r="M21" s="901" t="n"/>
      <c r="N21" s="904" t="n"/>
      <c r="O21" s="905" t="n"/>
      <c r="P21" s="907" t="n"/>
      <c r="Q21" s="907" t="n"/>
      <c r="R21" s="907" t="n"/>
      <c r="S21" s="128" t="n"/>
      <c r="T21" s="9" t="n"/>
      <c r="U21" s="9" t="n"/>
      <c r="V21" s="9" t="n"/>
      <c r="W21" s="9" t="n"/>
      <c r="X21" s="9" t="n"/>
      <c r="Y21" s="9" t="n"/>
      <c r="Z21" s="9" t="n"/>
    </row>
    <row r="22">
      <c r="A22" s="900">
        <f>A21+1</f>
        <v/>
      </c>
      <c r="B22" s="856">
        <f>TEXT(A22,"aaa")</f>
        <v/>
      </c>
      <c r="C22" s="901" t="n"/>
      <c r="D22" s="901" t="n"/>
      <c r="E22" s="901" t="n"/>
      <c r="F22" s="863" t="n"/>
      <c r="G22" s="858" t="n"/>
      <c r="H22" s="903" t="n"/>
      <c r="I22" s="209" t="n"/>
      <c r="J22" s="210" t="n"/>
      <c r="K22" s="210" t="n"/>
      <c r="L22" s="901" t="n"/>
      <c r="M22" s="901" t="n"/>
      <c r="N22" s="904" t="n"/>
      <c r="O22" s="905" t="n"/>
      <c r="P22" s="907" t="n"/>
      <c r="Q22" s="907" t="n"/>
      <c r="R22" s="907" t="n"/>
      <c r="S22" s="128" t="n"/>
      <c r="T22" s="9" t="n"/>
      <c r="U22" s="9" t="n"/>
      <c r="V22" s="9" t="n"/>
      <c r="W22" s="9" t="n"/>
      <c r="X22" s="9" t="n"/>
      <c r="Y22" s="9" t="n"/>
      <c r="Z22" s="9" t="n"/>
    </row>
    <row r="23">
      <c r="A23" s="900">
        <f>A22+1</f>
        <v/>
      </c>
      <c r="B23" s="856">
        <f>TEXT(A23,"aaa")</f>
        <v/>
      </c>
      <c r="C23" s="909" t="n"/>
      <c r="D23" s="909" t="n"/>
      <c r="E23" s="909" t="n"/>
      <c r="F23" s="910" t="n"/>
      <c r="G23" s="910" t="n"/>
      <c r="H23" s="218" t="n"/>
      <c r="I23" s="209" t="inlineStr">
        <is>
          <t>黄灰色</t>
        </is>
      </c>
      <c r="J23" s="210" t="inlineStr">
        <is>
          <t>茶色</t>
        </is>
      </c>
      <c r="K23" s="210" t="inlineStr">
        <is>
          <t>茶色</t>
        </is>
      </c>
      <c r="L23" s="901" t="inlineStr">
        <is>
          <t>透明</t>
        </is>
      </c>
      <c r="M23" s="901" t="inlineStr">
        <is>
          <t>透明</t>
        </is>
      </c>
      <c r="N23" s="904" t="inlineStr">
        <is>
          <t>透明</t>
        </is>
      </c>
      <c r="O23" s="905" t="n"/>
      <c r="P23" s="906" t="n"/>
      <c r="Q23" s="906" t="n"/>
      <c r="R23" s="907" t="n"/>
      <c r="S23" s="128" t="n"/>
      <c r="T23" s="9" t="n"/>
      <c r="U23" s="9" t="n"/>
      <c r="V23" s="9" t="n"/>
      <c r="W23" s="9" t="n"/>
      <c r="X23" s="9" t="n"/>
      <c r="Y23" s="9" t="n"/>
      <c r="Z23" s="9" t="n"/>
    </row>
    <row r="24">
      <c r="A24" s="900">
        <f>A23+1</f>
        <v/>
      </c>
      <c r="B24" s="856">
        <f>TEXT(A24,"aaa")</f>
        <v/>
      </c>
      <c r="C24" s="901" t="n"/>
      <c r="D24" s="901" t="n"/>
      <c r="E24" s="901" t="n"/>
      <c r="F24" s="902" t="n"/>
      <c r="G24" s="908" t="n"/>
      <c r="H24" s="903" t="n"/>
      <c r="I24" s="209" t="inlineStr">
        <is>
          <t>黄灰色</t>
        </is>
      </c>
      <c r="J24" s="210" t="inlineStr">
        <is>
          <t>茶色</t>
        </is>
      </c>
      <c r="K24" s="210" t="inlineStr">
        <is>
          <t>茶色</t>
        </is>
      </c>
      <c r="L24" s="901" t="inlineStr">
        <is>
          <t>透明</t>
        </is>
      </c>
      <c r="M24" s="901" t="inlineStr">
        <is>
          <t>透明</t>
        </is>
      </c>
      <c r="N24" s="904" t="inlineStr">
        <is>
          <t>透明</t>
        </is>
      </c>
      <c r="O24" s="905" t="n"/>
      <c r="P24" s="906" t="n"/>
      <c r="Q24" s="906" t="n"/>
      <c r="R24" s="907" t="n"/>
      <c r="S24" s="128" t="n"/>
      <c r="T24" s="9" t="n"/>
      <c r="U24" s="9" t="n"/>
      <c r="V24" s="9" t="n"/>
      <c r="W24" s="9" t="n"/>
      <c r="X24" s="9" t="n"/>
      <c r="Y24" s="9" t="n"/>
      <c r="Z24" s="9" t="n"/>
    </row>
    <row r="25">
      <c r="A25" s="900">
        <f>A24+1</f>
        <v/>
      </c>
      <c r="B25" s="856">
        <f>TEXT(A25,"aaa")</f>
        <v/>
      </c>
      <c r="C25" s="901" t="n"/>
      <c r="D25" s="901" t="n"/>
      <c r="E25" s="901" t="n"/>
      <c r="F25" s="902" t="n"/>
      <c r="G25" s="908" t="n"/>
      <c r="H25" s="903" t="n"/>
      <c r="I25" s="209" t="inlineStr">
        <is>
          <t>黄灰色</t>
        </is>
      </c>
      <c r="J25" s="210" t="inlineStr">
        <is>
          <t>茶色</t>
        </is>
      </c>
      <c r="K25" s="210" t="inlineStr">
        <is>
          <t>茶色</t>
        </is>
      </c>
      <c r="L25" s="901" t="inlineStr">
        <is>
          <t>透明</t>
        </is>
      </c>
      <c r="M25" s="901" t="inlineStr">
        <is>
          <t>透明</t>
        </is>
      </c>
      <c r="N25" s="904" t="inlineStr">
        <is>
          <t>透明</t>
        </is>
      </c>
      <c r="O25" s="905" t="n"/>
      <c r="P25" s="906" t="n"/>
      <c r="Q25" s="906" t="n"/>
      <c r="R25" s="907" t="n"/>
      <c r="S25" s="128" t="n"/>
      <c r="T25" s="9" t="n"/>
      <c r="U25" s="9" t="n"/>
      <c r="V25" s="9" t="n"/>
      <c r="W25" s="9" t="n"/>
      <c r="X25" s="9" t="n"/>
      <c r="Y25" s="9" t="n"/>
      <c r="Z25" s="9" t="n"/>
    </row>
    <row r="26">
      <c r="A26" s="900">
        <f>A25+1</f>
        <v/>
      </c>
      <c r="B26" s="856">
        <f>TEXT(A26,"aaa")</f>
        <v/>
      </c>
      <c r="C26" s="901" t="n"/>
      <c r="D26" s="901" t="n"/>
      <c r="E26" s="901" t="n"/>
      <c r="F26" s="902" t="n"/>
      <c r="G26" s="908" t="n"/>
      <c r="H26" s="903" t="n"/>
      <c r="I26" s="209" t="inlineStr">
        <is>
          <t>黄灰色</t>
        </is>
      </c>
      <c r="J26" s="210" t="inlineStr">
        <is>
          <t>茶色</t>
        </is>
      </c>
      <c r="K26" s="210" t="inlineStr">
        <is>
          <t>茶色</t>
        </is>
      </c>
      <c r="L26" s="901" t="inlineStr">
        <is>
          <t>透明</t>
        </is>
      </c>
      <c r="M26" s="901" t="inlineStr">
        <is>
          <t>透明</t>
        </is>
      </c>
      <c r="N26" s="904" t="inlineStr">
        <is>
          <t>透明</t>
        </is>
      </c>
      <c r="O26" s="905" t="n"/>
      <c r="P26" s="906" t="n"/>
      <c r="Q26" s="906" t="n"/>
      <c r="R26" s="907" t="n"/>
      <c r="S26" s="128" t="n"/>
      <c r="T26" s="9" t="n"/>
      <c r="U26" s="9" t="n"/>
      <c r="V26" s="9" t="n"/>
      <c r="W26" s="9" t="n"/>
      <c r="X26" s="9" t="n"/>
      <c r="Y26" s="9" t="n"/>
      <c r="Z26" s="9" t="n"/>
    </row>
    <row r="27">
      <c r="A27" s="900">
        <f>A26+1</f>
        <v/>
      </c>
      <c r="B27" s="856">
        <f>TEXT(A27,"aaa")</f>
        <v/>
      </c>
      <c r="C27" s="901" t="n"/>
      <c r="D27" s="901" t="n"/>
      <c r="E27" s="901" t="n"/>
      <c r="F27" s="902" t="n"/>
      <c r="G27" s="908" t="n"/>
      <c r="H27" s="903" t="n"/>
      <c r="I27" s="209" t="inlineStr">
        <is>
          <t>黄灰色</t>
        </is>
      </c>
      <c r="J27" s="210" t="inlineStr">
        <is>
          <t>茶色</t>
        </is>
      </c>
      <c r="K27" s="210" t="inlineStr">
        <is>
          <t>茶色</t>
        </is>
      </c>
      <c r="L27" s="901" t="inlineStr">
        <is>
          <t>透明</t>
        </is>
      </c>
      <c r="M27" s="901" t="inlineStr">
        <is>
          <t>透明</t>
        </is>
      </c>
      <c r="N27" s="904" t="inlineStr">
        <is>
          <t>透明</t>
        </is>
      </c>
      <c r="O27" s="905" t="n"/>
      <c r="P27" s="906" t="n"/>
      <c r="Q27" s="906" t="n"/>
      <c r="R27" s="907" t="n"/>
      <c r="S27" s="128" t="n"/>
      <c r="T27" s="9" t="n"/>
      <c r="U27" s="9" t="n"/>
      <c r="V27" s="9" t="n"/>
      <c r="W27" s="9" t="n"/>
      <c r="X27" s="9" t="n"/>
      <c r="Y27" s="9" t="n"/>
      <c r="Z27" s="9" t="n"/>
    </row>
    <row r="28">
      <c r="A28" s="900">
        <f>A27+1</f>
        <v/>
      </c>
      <c r="B28" s="856">
        <f>TEXT(A28,"aaa")</f>
        <v/>
      </c>
      <c r="C28" s="901" t="n"/>
      <c r="D28" s="901" t="n"/>
      <c r="E28" s="901" t="n"/>
      <c r="F28" s="863" t="n"/>
      <c r="G28" s="858" t="n"/>
      <c r="H28" s="903" t="n"/>
      <c r="I28" s="209" t="n"/>
      <c r="J28" s="210" t="n"/>
      <c r="K28" s="210" t="n"/>
      <c r="L28" s="901" t="n"/>
      <c r="M28" s="901" t="n"/>
      <c r="N28" s="904" t="n"/>
      <c r="O28" s="905" t="n"/>
      <c r="P28" s="907" t="n"/>
      <c r="Q28" s="907" t="n"/>
      <c r="R28" s="907" t="n"/>
      <c r="S28" s="128" t="n"/>
      <c r="T28" s="9" t="n"/>
      <c r="U28" s="9" t="n"/>
      <c r="V28" s="9" t="n"/>
      <c r="W28" s="9" t="n"/>
      <c r="X28" s="9" t="n"/>
      <c r="Y28" s="9" t="n"/>
      <c r="Z28" s="9" t="n"/>
    </row>
    <row r="29">
      <c r="A29" s="900">
        <f>A28+1</f>
        <v/>
      </c>
      <c r="B29" s="856">
        <f>TEXT(A29,"aaa")</f>
        <v/>
      </c>
      <c r="C29" s="901" t="n"/>
      <c r="D29" s="901" t="n"/>
      <c r="E29" s="901" t="n"/>
      <c r="F29" s="863" t="n"/>
      <c r="G29" s="858" t="n"/>
      <c r="H29" s="903" t="n"/>
      <c r="I29" s="209" t="n"/>
      <c r="J29" s="210" t="n"/>
      <c r="K29" s="210" t="n"/>
      <c r="L29" s="901" t="n"/>
      <c r="M29" s="901" t="n"/>
      <c r="N29" s="904" t="n"/>
      <c r="O29" s="905" t="n"/>
      <c r="P29" s="907" t="n"/>
      <c r="Q29" s="907" t="n"/>
      <c r="R29" s="907" t="n"/>
      <c r="S29" s="128" t="n"/>
      <c r="T29" s="9" t="n"/>
      <c r="U29" s="9" t="n"/>
      <c r="V29" s="9" t="n"/>
      <c r="W29" s="9" t="n"/>
      <c r="X29" s="9" t="n"/>
      <c r="Y29" s="9" t="n"/>
      <c r="Z29" s="9" t="n"/>
    </row>
    <row r="30">
      <c r="A30" s="900">
        <f>A29+1</f>
        <v/>
      </c>
      <c r="B30" s="856">
        <f>TEXT(A30,"aaa")</f>
        <v/>
      </c>
      <c r="C30" s="589" t="n"/>
      <c r="D30" s="589" t="n"/>
      <c r="E30" s="589" t="n"/>
      <c r="F30" s="219" t="n"/>
      <c r="G30" s="219" t="n"/>
      <c r="H30" s="911" t="n"/>
      <c r="I30" s="209" t="inlineStr">
        <is>
          <t>黄灰色</t>
        </is>
      </c>
      <c r="J30" s="210" t="inlineStr">
        <is>
          <t>茶色</t>
        </is>
      </c>
      <c r="K30" s="210" t="inlineStr">
        <is>
          <t>茶色</t>
        </is>
      </c>
      <c r="L30" s="901" t="inlineStr">
        <is>
          <t>透明</t>
        </is>
      </c>
      <c r="M30" s="901" t="inlineStr">
        <is>
          <t>透明</t>
        </is>
      </c>
      <c r="N30" s="904" t="inlineStr">
        <is>
          <t>透明</t>
        </is>
      </c>
      <c r="O30" s="905" t="n"/>
      <c r="P30" s="906" t="n"/>
      <c r="Q30" s="906" t="n"/>
      <c r="R30" s="907" t="n"/>
      <c r="S30" s="128" t="n"/>
      <c r="T30" s="9" t="n"/>
      <c r="U30" s="9" t="n"/>
      <c r="V30" s="9" t="n"/>
      <c r="W30" s="9" t="n"/>
      <c r="X30" s="9" t="n"/>
      <c r="Y30" s="9" t="n"/>
      <c r="Z30" s="9" t="n"/>
    </row>
    <row r="31">
      <c r="A31" s="900">
        <f>A30+1</f>
        <v/>
      </c>
      <c r="B31" s="856">
        <f>TEXT(A31,"aaa")</f>
        <v/>
      </c>
      <c r="C31" s="901" t="n"/>
      <c r="D31" s="901" t="n"/>
      <c r="E31" s="901" t="n"/>
      <c r="F31" s="814" t="n"/>
      <c r="G31" s="908" t="n"/>
      <c r="H31" s="903" t="n"/>
      <c r="I31" s="209" t="inlineStr">
        <is>
          <t>黄灰色</t>
        </is>
      </c>
      <c r="J31" s="210" t="inlineStr">
        <is>
          <t>茶色</t>
        </is>
      </c>
      <c r="K31" s="210" t="inlineStr">
        <is>
          <t>茶色</t>
        </is>
      </c>
      <c r="L31" s="901" t="inlineStr">
        <is>
          <t>透明</t>
        </is>
      </c>
      <c r="M31" s="901" t="inlineStr">
        <is>
          <t>透明</t>
        </is>
      </c>
      <c r="N31" s="904" t="inlineStr">
        <is>
          <t>透明</t>
        </is>
      </c>
      <c r="O31" s="905" t="n"/>
      <c r="P31" s="906" t="n"/>
      <c r="Q31" s="906" t="n"/>
      <c r="R31" s="907" t="n"/>
      <c r="S31" s="128" t="n"/>
      <c r="T31" s="9" t="n"/>
      <c r="U31" s="9" t="n"/>
      <c r="V31" s="9" t="n"/>
      <c r="W31" s="9" t="n"/>
      <c r="X31" s="9" t="n"/>
      <c r="Y31" s="9" t="n"/>
      <c r="Z31" s="9" t="n"/>
    </row>
    <row r="32">
      <c r="A32" s="900">
        <f>A31+1</f>
        <v/>
      </c>
      <c r="B32" s="856">
        <f>TEXT(A32,"aaa")</f>
        <v/>
      </c>
      <c r="C32" s="901" t="n"/>
      <c r="D32" s="901" t="n"/>
      <c r="E32" s="901" t="n"/>
      <c r="F32" s="814" t="n"/>
      <c r="G32" s="908" t="n"/>
      <c r="H32" s="903" t="n"/>
      <c r="I32" s="209" t="inlineStr">
        <is>
          <t>黄灰色</t>
        </is>
      </c>
      <c r="J32" s="210" t="inlineStr">
        <is>
          <t>茶色</t>
        </is>
      </c>
      <c r="K32" s="210" t="inlineStr">
        <is>
          <t>茶色</t>
        </is>
      </c>
      <c r="L32" s="901" t="inlineStr">
        <is>
          <t>透明</t>
        </is>
      </c>
      <c r="M32" s="901" t="inlineStr">
        <is>
          <t>透明</t>
        </is>
      </c>
      <c r="N32" s="904" t="inlineStr">
        <is>
          <t>透明</t>
        </is>
      </c>
      <c r="O32" s="905" t="n"/>
      <c r="P32" s="906" t="n"/>
      <c r="Q32" s="906" t="n"/>
      <c r="R32" s="907" t="n"/>
      <c r="S32" s="128" t="n"/>
      <c r="T32" s="9" t="n"/>
      <c r="U32" s="9" t="n"/>
      <c r="V32" s="9" t="n"/>
      <c r="W32" s="9" t="n"/>
      <c r="X32" s="9" t="n"/>
      <c r="Y32" s="9" t="n"/>
      <c r="Z32" s="9" t="n"/>
    </row>
    <row r="33">
      <c r="A33" s="900">
        <f>A32+1</f>
        <v/>
      </c>
      <c r="B33" s="856">
        <f>TEXT(A33,"aaa")</f>
        <v/>
      </c>
      <c r="C33" s="901" t="n"/>
      <c r="D33" s="901" t="n"/>
      <c r="E33" s="901" t="n"/>
      <c r="F33" s="814" t="n"/>
      <c r="G33" s="908" t="n"/>
      <c r="H33" s="903" t="n"/>
      <c r="I33" s="209" t="inlineStr">
        <is>
          <t>黄灰色</t>
        </is>
      </c>
      <c r="J33" s="210" t="inlineStr">
        <is>
          <t>茶色</t>
        </is>
      </c>
      <c r="K33" s="210" t="inlineStr">
        <is>
          <t>茶色</t>
        </is>
      </c>
      <c r="L33" s="901" t="inlineStr">
        <is>
          <t>透明</t>
        </is>
      </c>
      <c r="M33" s="901" t="inlineStr">
        <is>
          <t>透明</t>
        </is>
      </c>
      <c r="N33" s="904" t="inlineStr">
        <is>
          <t>透明</t>
        </is>
      </c>
      <c r="O33" s="905" t="n"/>
      <c r="P33" s="906" t="n"/>
      <c r="Q33" s="906" t="n"/>
      <c r="R33" s="907" t="n"/>
      <c r="S33" s="128" t="n"/>
      <c r="T33" s="9" t="n"/>
      <c r="U33" s="9" t="n"/>
      <c r="V33" s="9" t="n"/>
      <c r="W33" s="9" t="n"/>
      <c r="X33" s="9" t="n"/>
      <c r="Y33" s="9" t="n"/>
      <c r="Z33" s="9" t="n"/>
    </row>
    <row r="34">
      <c r="A34" s="900">
        <f>A33+1</f>
        <v/>
      </c>
      <c r="B34" s="856">
        <f>TEXT(A34,"aaa")</f>
        <v/>
      </c>
      <c r="C34" s="901" t="n"/>
      <c r="D34" s="901" t="n"/>
      <c r="E34" s="901" t="n"/>
      <c r="F34" s="814" t="n"/>
      <c r="G34" s="908" t="n"/>
      <c r="H34" s="903" t="n"/>
      <c r="I34" s="209" t="inlineStr">
        <is>
          <t>黄灰色</t>
        </is>
      </c>
      <c r="J34" s="210" t="inlineStr">
        <is>
          <t>茶色</t>
        </is>
      </c>
      <c r="K34" s="210" t="inlineStr">
        <is>
          <t>茶色</t>
        </is>
      </c>
      <c r="L34" s="901" t="inlineStr">
        <is>
          <t>透明</t>
        </is>
      </c>
      <c r="M34" s="901" t="inlineStr">
        <is>
          <t>透明</t>
        </is>
      </c>
      <c r="N34" s="904" t="inlineStr">
        <is>
          <t>透明</t>
        </is>
      </c>
      <c r="O34" s="905" t="n"/>
      <c r="P34" s="906" t="n"/>
      <c r="Q34" s="906" t="n"/>
      <c r="R34" s="907" t="n"/>
      <c r="S34" s="128" t="n"/>
      <c r="T34" s="9" t="n"/>
      <c r="U34" s="9" t="n"/>
      <c r="V34" s="9" t="n"/>
      <c r="W34" s="9" t="n"/>
      <c r="X34" s="9" t="n"/>
      <c r="Y34" s="9" t="n"/>
      <c r="Z34" s="9" t="n"/>
    </row>
    <row r="35">
      <c r="A35" s="900">
        <f>A34+1</f>
        <v/>
      </c>
      <c r="B35" s="856">
        <f>TEXT(A35,"aaa")</f>
        <v/>
      </c>
      <c r="C35" s="901" t="n"/>
      <c r="D35" s="901" t="n"/>
      <c r="E35" s="901" t="n"/>
      <c r="F35" s="912" t="n"/>
      <c r="G35" s="858" t="n"/>
      <c r="H35" s="903" t="n"/>
      <c r="I35" s="209" t="n"/>
      <c r="J35" s="210" t="n"/>
      <c r="K35" s="210" t="n"/>
      <c r="L35" s="901" t="n"/>
      <c r="M35" s="901" t="n"/>
      <c r="N35" s="904" t="n"/>
      <c r="O35" s="905" t="n"/>
      <c r="P35" s="907" t="n"/>
      <c r="Q35" s="907" t="n"/>
      <c r="R35" s="907" t="n"/>
      <c r="S35" s="128" t="n"/>
      <c r="T35" s="9" t="n"/>
      <c r="U35" s="9" t="n"/>
      <c r="V35" s="9" t="n"/>
      <c r="W35" s="9" t="n"/>
      <c r="X35" s="9" t="n"/>
      <c r="Y35" s="9" t="n"/>
      <c r="Z35" s="9" t="n"/>
    </row>
    <row r="36">
      <c r="A36" s="900">
        <f>A35+1</f>
        <v/>
      </c>
      <c r="B36" s="856">
        <f>TEXT(A36,"aaa")</f>
        <v/>
      </c>
      <c r="C36" s="901" t="n"/>
      <c r="D36" s="901" t="n"/>
      <c r="E36" s="901" t="n"/>
      <c r="F36" s="913" t="n"/>
      <c r="G36" s="858" t="n"/>
      <c r="H36" s="903" t="n"/>
      <c r="I36" s="209" t="n"/>
      <c r="J36" s="210" t="n"/>
      <c r="K36" s="210" t="n"/>
      <c r="L36" s="901" t="n"/>
      <c r="M36" s="901" t="n"/>
      <c r="N36" s="904" t="n"/>
      <c r="O36" s="905" t="n"/>
      <c r="P36" s="907" t="n"/>
      <c r="Q36" s="907" t="n"/>
      <c r="R36" s="907" t="n"/>
      <c r="S36" s="128" t="n"/>
      <c r="T36" s="9" t="n"/>
      <c r="U36" s="9" t="n"/>
      <c r="V36" s="9" t="n"/>
      <c r="W36" s="9" t="n"/>
      <c r="X36" s="9" t="n"/>
      <c r="Y36" s="9" t="n"/>
      <c r="Z36" s="9" t="n"/>
    </row>
    <row r="37">
      <c r="A37" s="900">
        <f>A36+1</f>
        <v/>
      </c>
      <c r="B37" s="856">
        <f>TEXT(A37,"aaa")</f>
        <v/>
      </c>
      <c r="C37" s="901" t="n"/>
      <c r="D37" s="901" t="n"/>
      <c r="E37" s="901" t="n"/>
      <c r="F37" s="914" t="n"/>
      <c r="G37" s="908" t="n"/>
      <c r="H37" s="903" t="n"/>
      <c r="I37" s="209" t="inlineStr">
        <is>
          <t>黄灰色</t>
        </is>
      </c>
      <c r="J37" s="210" t="inlineStr">
        <is>
          <t>茶色</t>
        </is>
      </c>
      <c r="K37" s="210" t="inlineStr">
        <is>
          <t>茶色</t>
        </is>
      </c>
      <c r="L37" s="901" t="inlineStr">
        <is>
          <t>透明</t>
        </is>
      </c>
      <c r="M37" s="901" t="inlineStr">
        <is>
          <t>透明</t>
        </is>
      </c>
      <c r="N37" s="904" t="inlineStr">
        <is>
          <t>透明</t>
        </is>
      </c>
      <c r="O37" s="905" t="n"/>
      <c r="P37" s="906" t="n"/>
      <c r="Q37" s="906" t="n"/>
      <c r="R37" s="907" t="n"/>
      <c r="S37" s="128" t="n"/>
      <c r="T37" s="9" t="n"/>
      <c r="U37" s="9" t="n"/>
      <c r="V37" s="9" t="n"/>
      <c r="W37" s="9" t="n"/>
      <c r="X37" s="9" t="n"/>
      <c r="Y37" s="9" t="n"/>
      <c r="Z37" s="9" t="n"/>
    </row>
    <row r="38" ht="15" customHeight="1" thickBot="1">
      <c r="A38" s="915">
        <f>A37+1</f>
        <v/>
      </c>
      <c r="B38" s="916">
        <f>TEXT(A38,"aaa")</f>
        <v/>
      </c>
      <c r="C38" s="917" t="n"/>
      <c r="D38" s="917" t="n"/>
      <c r="E38" s="917" t="n"/>
      <c r="F38" s="918" t="n"/>
      <c r="G38" s="919" t="n"/>
      <c r="H38" s="920" t="n"/>
      <c r="I38" s="230" t="inlineStr">
        <is>
          <t>黄灰色</t>
        </is>
      </c>
      <c r="J38" s="231" t="inlineStr">
        <is>
          <t>茶色</t>
        </is>
      </c>
      <c r="K38" s="231" t="inlineStr">
        <is>
          <t>茶色</t>
        </is>
      </c>
      <c r="L38" s="921" t="inlineStr">
        <is>
          <t>透明</t>
        </is>
      </c>
      <c r="M38" s="921" t="inlineStr">
        <is>
          <t>透明</t>
        </is>
      </c>
      <c r="N38" s="922" t="inlineStr">
        <is>
          <t>透明</t>
        </is>
      </c>
      <c r="O38" s="923" t="n"/>
      <c r="P38" s="924" t="n"/>
      <c r="Q38" s="924" t="n"/>
      <c r="R38" s="925" t="n"/>
      <c r="S38" s="128" t="n"/>
      <c r="T38" s="9" t="n"/>
      <c r="U38" s="9" t="n"/>
      <c r="V38" s="9" t="n"/>
      <c r="W38" s="9" t="n"/>
      <c r="X38" s="9" t="n"/>
      <c r="Y38" s="9" t="n"/>
      <c r="Z38" s="9" t="n"/>
    </row>
    <row r="39" ht="15" customHeight="1" thickTop="1">
      <c r="A39" s="703" t="inlineStr">
        <is>
          <t>最大</t>
        </is>
      </c>
      <c r="B39" s="686" t="n"/>
      <c r="C39" s="894">
        <f>IFERROR(MAX(C8:C38),"")</f>
        <v/>
      </c>
      <c r="D39" s="894">
        <f>IFERROR(MAX(D8:D38),"")</f>
        <v/>
      </c>
      <c r="E39" s="894">
        <f>IFERROR(MAX(E8:E38),"")</f>
        <v/>
      </c>
      <c r="F39" s="894">
        <f>IFERROR(MAX(F8:F38),"")</f>
        <v/>
      </c>
      <c r="G39" s="894">
        <f>IFERROR(MAX(G8:G38),"")</f>
        <v/>
      </c>
      <c r="H39" s="894">
        <f>IFERROR(MAX(H8:H38),"")</f>
        <v/>
      </c>
      <c r="I39" s="238" t="inlineStr">
        <is>
          <t>―</t>
        </is>
      </c>
      <c r="J39" s="703" t="inlineStr">
        <is>
          <t>―</t>
        </is>
      </c>
      <c r="K39" s="703" t="inlineStr">
        <is>
          <t>―</t>
        </is>
      </c>
      <c r="L39" s="703" t="inlineStr">
        <is>
          <t>―</t>
        </is>
      </c>
      <c r="M39" s="703" t="inlineStr">
        <is>
          <t>―</t>
        </is>
      </c>
      <c r="N39" s="239" t="inlineStr">
        <is>
          <t>―</t>
        </is>
      </c>
      <c r="O39" s="899">
        <f>IFERROR(MAX(O8:O38),"")</f>
        <v/>
      </c>
      <c r="P39" s="894">
        <f>IFERROR(MAX(P8:P38),"")</f>
        <v/>
      </c>
      <c r="Q39" s="894">
        <f>IFERROR(MAX(Q8:Q38),"")</f>
        <v/>
      </c>
      <c r="R39" s="894">
        <f>IFERROR(MAX(R8:R38),"")</f>
        <v/>
      </c>
      <c r="S39" s="128" t="n"/>
      <c r="T39" s="9" t="n"/>
      <c r="U39" s="9" t="n"/>
      <c r="V39" s="9" t="n"/>
      <c r="W39" s="9" t="n"/>
      <c r="X39" s="9" t="n"/>
      <c r="Y39" s="9" t="n"/>
      <c r="Z39" s="9" t="n"/>
    </row>
    <row r="40" ht="18" customHeight="1">
      <c r="A40" s="588" t="inlineStr">
        <is>
          <t>平均</t>
        </is>
      </c>
      <c r="B40" s="580" t="n"/>
      <c r="C40" s="863">
        <f>IFERROR(AVERAGE(C8:C38),"")</f>
        <v/>
      </c>
      <c r="D40" s="863">
        <f>IFERROR(AVERAGE(D8:D38),"")</f>
        <v/>
      </c>
      <c r="E40" s="863">
        <f>IFERROR(AVERAGE(E8:E38),"")</f>
        <v/>
      </c>
      <c r="F40" s="863">
        <f>IFERROR(AVERAGE(F8:F38),"")</f>
        <v/>
      </c>
      <c r="G40" s="863">
        <f>IFERROR(AVERAGE(G8:G38),"")</f>
        <v/>
      </c>
      <c r="H40" s="863">
        <f>IFERROR(AVERAGE(H8:H38),"")</f>
        <v/>
      </c>
      <c r="I40" s="240" t="inlineStr">
        <is>
          <t>―</t>
        </is>
      </c>
      <c r="J40" s="588" t="inlineStr">
        <is>
          <t>―</t>
        </is>
      </c>
      <c r="K40" s="588" t="inlineStr">
        <is>
          <t>―</t>
        </is>
      </c>
      <c r="L40" s="588" t="inlineStr">
        <is>
          <t>―</t>
        </is>
      </c>
      <c r="M40" s="588" t="inlineStr">
        <is>
          <t>―</t>
        </is>
      </c>
      <c r="N40" s="241" t="inlineStr">
        <is>
          <t>―</t>
        </is>
      </c>
      <c r="O40" s="907">
        <f>IFERROR(AVERAGE(O8:O38),"")</f>
        <v/>
      </c>
      <c r="P40" s="863">
        <f>IFERROR(AVERAGE(P8:P38),"")</f>
        <v/>
      </c>
      <c r="Q40" s="863">
        <f>IFERROR(AVERAGE(Q8:Q38),"")</f>
        <v/>
      </c>
      <c r="R40" s="863">
        <f>IFERROR(AVERAGE(R8:R38),"")</f>
        <v/>
      </c>
      <c r="S40" s="128" t="n"/>
      <c r="T40" s="9" t="n"/>
      <c r="U40" s="9" t="n"/>
      <c r="V40" s="9" t="n"/>
      <c r="W40" s="9" t="n"/>
      <c r="X40" s="9" t="n"/>
      <c r="Y40" s="9" t="n"/>
      <c r="Z40" s="9" t="n"/>
    </row>
    <row r="41" ht="18" customHeight="1">
      <c r="A41" s="588" t="inlineStr">
        <is>
          <t>最小</t>
        </is>
      </c>
      <c r="B41" s="580" t="n"/>
      <c r="C41" s="863">
        <f>IFERROR(MIN(C8:C38),"")</f>
        <v/>
      </c>
      <c r="D41" s="863">
        <f>IFERROR(MIN(D8:D38),"")</f>
        <v/>
      </c>
      <c r="E41" s="863">
        <f>IFERROR(MIN(E8:E38),"")</f>
        <v/>
      </c>
      <c r="F41" s="863">
        <f>IFERROR(MIN(F8:F38),"")</f>
        <v/>
      </c>
      <c r="G41" s="863">
        <f>IFERROR(MIN(G8:G38),"")</f>
        <v/>
      </c>
      <c r="H41" s="863">
        <f>IFERROR(MIN(H8:H38),"")</f>
        <v/>
      </c>
      <c r="I41" s="240" t="inlineStr">
        <is>
          <t>―</t>
        </is>
      </c>
      <c r="J41" s="588" t="inlineStr">
        <is>
          <t>―</t>
        </is>
      </c>
      <c r="K41" s="588" t="inlineStr">
        <is>
          <t>―</t>
        </is>
      </c>
      <c r="L41" s="588" t="inlineStr">
        <is>
          <t>―</t>
        </is>
      </c>
      <c r="M41" s="588" t="inlineStr">
        <is>
          <t>―</t>
        </is>
      </c>
      <c r="N41" s="241" t="inlineStr">
        <is>
          <t>―</t>
        </is>
      </c>
      <c r="O41" s="907">
        <f>IFERROR(MIN(O8:O38),"")</f>
        <v/>
      </c>
      <c r="P41" s="863">
        <f>IFERROR(MIN(P8:P38),"")</f>
        <v/>
      </c>
      <c r="Q41" s="863">
        <f>IFERROR(MIN(Q8:Q38),"")</f>
        <v/>
      </c>
      <c r="R41" s="863">
        <f>IFERROR(MIN(R8:R38),"")</f>
        <v/>
      </c>
      <c r="S41" s="128" t="n"/>
      <c r="T41" s="9" t="n"/>
      <c r="U41" s="9" t="n"/>
      <c r="V41" s="9" t="n"/>
      <c r="W41" s="9" t="n"/>
      <c r="X41" s="9" t="n"/>
      <c r="Y41" s="9" t="n"/>
      <c r="Z41" s="9" t="n"/>
    </row>
    <row r="42" ht="22" customHeight="1">
      <c r="A42" s="186" t="inlineStr">
        <is>
          <t xml:space="preserve">　筒賀水質管理センター水質管理月報（２/２）</t>
        </is>
      </c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706">
        <f>P1</f>
        <v/>
      </c>
      <c r="Q42" s="598" t="n"/>
      <c r="R42" s="598" t="n"/>
      <c r="S42" s="128" t="n"/>
      <c r="T42" s="9" t="n"/>
      <c r="U42" s="9" t="n"/>
      <c r="V42" s="9" t="n"/>
      <c r="W42" s="9" t="n"/>
      <c r="X42" s="9" t="n"/>
      <c r="Y42" s="9" t="n"/>
      <c r="Z42" s="9" t="n"/>
    </row>
    <row r="43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9" t="n"/>
      <c r="U43" s="9" t="n"/>
      <c r="V43" s="9" t="n"/>
      <c r="W43" s="9" t="n"/>
      <c r="X43" s="9" t="n"/>
      <c r="Y43" s="9" t="n"/>
      <c r="Z43" s="9" t="n"/>
    </row>
    <row r="44" ht="18" customHeight="1">
      <c r="A44" s="700" t="inlineStr">
        <is>
          <t>日付</t>
        </is>
      </c>
      <c r="B44" s="687" t="inlineStr">
        <is>
          <t>曜日</t>
        </is>
      </c>
      <c r="C44" s="690" t="inlineStr">
        <is>
          <t>臭気</t>
        </is>
      </c>
      <c r="D44" s="586" t="n"/>
      <c r="E44" s="586" t="n"/>
      <c r="F44" s="586" t="n"/>
      <c r="G44" s="586" t="n"/>
      <c r="H44" s="587" t="n"/>
      <c r="I44" s="713" t="inlineStr">
        <is>
          <t xml:space="preserve"> DO</t>
        </is>
      </c>
      <c r="J44" s="714" t="n"/>
      <c r="K44" s="690" t="inlineStr">
        <is>
          <t>PH</t>
        </is>
      </c>
      <c r="L44" s="586" t="n"/>
      <c r="M44" s="586" t="n"/>
      <c r="N44" s="586" t="n"/>
      <c r="O44" s="586" t="n"/>
      <c r="P44" s="587" t="n"/>
      <c r="Q44" s="713" t="inlineStr">
        <is>
          <t>残留塩素</t>
        </is>
      </c>
      <c r="R44" s="689" t="inlineStr">
        <is>
          <t>SV30</t>
        </is>
      </c>
      <c r="S44" s="587" t="n"/>
      <c r="T44" s="9" t="n"/>
      <c r="U44" s="9" t="n"/>
      <c r="V44" s="9" t="n"/>
      <c r="W44" s="9" t="n"/>
      <c r="X44" s="9" t="n"/>
      <c r="Y44" s="9" t="n"/>
      <c r="Z44" s="9" t="n"/>
    </row>
    <row r="45" ht="18" customHeight="1">
      <c r="A45" s="613" t="n"/>
      <c r="C45" s="717" t="inlineStr">
        <is>
          <t>（５回/週）</t>
        </is>
      </c>
      <c r="H45" s="602" t="n"/>
      <c r="I45" s="695" t="inlineStr">
        <is>
          <t>（５回/週）</t>
        </is>
      </c>
      <c r="J45" s="696" t="n"/>
      <c r="K45" s="717" t="inlineStr">
        <is>
          <t>（５回/週）</t>
        </is>
      </c>
      <c r="P45" s="602" t="n"/>
      <c r="Q45" s="243" t="inlineStr">
        <is>
          <t>（５回/週）</t>
        </is>
      </c>
      <c r="R45" s="704" t="n"/>
      <c r="S45" s="602" t="n"/>
      <c r="T45" s="9" t="n"/>
      <c r="U45" s="9" t="n"/>
      <c r="V45" s="9" t="n"/>
      <c r="W45" s="9" t="n"/>
      <c r="X45" s="9" t="n"/>
      <c r="Y45" s="9" t="n"/>
      <c r="Z45" s="9" t="n"/>
    </row>
    <row r="46" ht="18" customHeight="1">
      <c r="A46" s="613" t="n"/>
      <c r="C46" s="693" t="inlineStr">
        <is>
          <t>―</t>
        </is>
      </c>
      <c r="D46" s="598" t="n"/>
      <c r="E46" s="598" t="n"/>
      <c r="F46" s="598" t="n"/>
      <c r="G46" s="598" t="n"/>
      <c r="H46" s="591" t="n"/>
      <c r="I46" s="691" t="inlineStr">
        <is>
          <t>㎎/ℓ</t>
        </is>
      </c>
      <c r="J46" s="692" t="n"/>
      <c r="K46" s="693" t="inlineStr">
        <is>
          <t>―</t>
        </is>
      </c>
      <c r="L46" s="598" t="n"/>
      <c r="M46" s="598" t="n"/>
      <c r="N46" s="598" t="n"/>
      <c r="O46" s="598" t="n"/>
      <c r="P46" s="591" t="n"/>
      <c r="Q46" s="691" t="inlineStr">
        <is>
          <t>㎎/ℓ</t>
        </is>
      </c>
      <c r="R46" s="718" t="inlineStr">
        <is>
          <t>％</t>
        </is>
      </c>
      <c r="S46" s="602" t="n"/>
      <c r="T46" s="9" t="n"/>
      <c r="U46" s="9" t="n"/>
      <c r="V46" s="9" t="n"/>
      <c r="W46" s="9" t="n"/>
      <c r="X46" s="9" t="n"/>
      <c r="Y46" s="9" t="n"/>
      <c r="Z46" s="9" t="n"/>
    </row>
    <row r="47" ht="13.5" customHeight="1">
      <c r="A47" s="613" t="n"/>
      <c r="C47" s="699" t="inlineStr">
        <is>
          <t>流入</t>
        </is>
      </c>
      <c r="D47" s="690" t="inlineStr">
        <is>
          <t>No．１</t>
        </is>
      </c>
      <c r="E47" s="690" t="inlineStr">
        <is>
          <t>No．２</t>
        </is>
      </c>
      <c r="F47" s="690" t="inlineStr">
        <is>
          <t>No．１</t>
        </is>
      </c>
      <c r="G47" s="690" t="inlineStr">
        <is>
          <t>No．２</t>
        </is>
      </c>
      <c r="H47" s="707" t="inlineStr">
        <is>
          <t>放流水</t>
        </is>
      </c>
      <c r="I47" s="690" t="inlineStr">
        <is>
          <t>No．１</t>
        </is>
      </c>
      <c r="J47" s="245" t="inlineStr">
        <is>
          <t>No．２</t>
        </is>
      </c>
      <c r="K47" s="699" t="inlineStr">
        <is>
          <t>流入</t>
        </is>
      </c>
      <c r="L47" s="690" t="inlineStr">
        <is>
          <t>No．１</t>
        </is>
      </c>
      <c r="M47" s="690" t="inlineStr">
        <is>
          <t>No．２</t>
        </is>
      </c>
      <c r="N47" s="690" t="inlineStr">
        <is>
          <t>No．１</t>
        </is>
      </c>
      <c r="O47" s="690" t="inlineStr">
        <is>
          <t>No．２</t>
        </is>
      </c>
      <c r="P47" s="707" t="inlineStr">
        <is>
          <t>放流水</t>
        </is>
      </c>
      <c r="Q47" s="719" t="inlineStr">
        <is>
          <t>放流水</t>
        </is>
      </c>
      <c r="R47" s="702" t="inlineStr">
        <is>
          <t>No．１</t>
        </is>
      </c>
      <c r="S47" s="690" t="inlineStr">
        <is>
          <t>No．２</t>
        </is>
      </c>
      <c r="T47" s="9" t="n"/>
      <c r="U47" s="9" t="n"/>
      <c r="V47" s="9" t="n"/>
      <c r="W47" s="9" t="n"/>
      <c r="X47" s="9" t="n"/>
      <c r="Y47" s="9" t="n"/>
      <c r="Z47" s="9" t="n"/>
    </row>
    <row r="48" ht="15" customHeight="1" thickBot="1">
      <c r="A48" s="613" t="n"/>
      <c r="C48" s="626" t="n"/>
      <c r="D48" s="717" t="inlineStr">
        <is>
          <t>ディッチ</t>
        </is>
      </c>
      <c r="E48" s="717" t="inlineStr">
        <is>
          <t>ディッチ</t>
        </is>
      </c>
      <c r="F48" s="717" t="inlineStr">
        <is>
          <t>終沈</t>
        </is>
      </c>
      <c r="G48" s="717" t="inlineStr">
        <is>
          <t>終沈</t>
        </is>
      </c>
      <c r="H48" s="708" t="n"/>
      <c r="I48" s="717" t="inlineStr">
        <is>
          <t>ディッチ</t>
        </is>
      </c>
      <c r="J48" s="246" t="inlineStr">
        <is>
          <t>ディッチ</t>
        </is>
      </c>
      <c r="K48" s="626" t="n"/>
      <c r="L48" s="717" t="inlineStr">
        <is>
          <t>ディッチ</t>
        </is>
      </c>
      <c r="M48" s="717" t="inlineStr">
        <is>
          <t>ディッチ</t>
        </is>
      </c>
      <c r="N48" s="717" t="inlineStr">
        <is>
          <t>終沈</t>
        </is>
      </c>
      <c r="O48" s="717" t="inlineStr">
        <is>
          <t>終沈</t>
        </is>
      </c>
      <c r="P48" s="708" t="n"/>
      <c r="Q48" s="720" t="n"/>
      <c r="R48" s="704" t="inlineStr">
        <is>
          <t>ディッチ</t>
        </is>
      </c>
      <c r="S48" s="717" t="inlineStr">
        <is>
          <t>ディッチ</t>
        </is>
      </c>
      <c r="T48" s="9" t="n"/>
      <c r="U48" s="9" t="n"/>
      <c r="V48" s="9" t="n"/>
      <c r="W48" s="9" t="n"/>
      <c r="X48" s="9" t="n"/>
      <c r="Y48" s="9" t="n"/>
      <c r="Z48" s="9" t="n"/>
    </row>
    <row r="49" ht="15" customHeight="1" thickTop="1">
      <c r="A49" s="892">
        <f>A8</f>
        <v/>
      </c>
      <c r="B49" s="926">
        <f>B8</f>
        <v/>
      </c>
      <c r="C49" s="134" t="n"/>
      <c r="D49" s="134" t="n"/>
      <c r="E49" s="134" t="n"/>
      <c r="F49" s="134" t="n"/>
      <c r="G49" s="134" t="n"/>
      <c r="H49" s="248" t="n"/>
      <c r="I49" s="249" t="n"/>
      <c r="J49" s="250" t="n"/>
      <c r="K49" s="249" t="n"/>
      <c r="L49" s="164" t="n"/>
      <c r="M49" s="164" t="n"/>
      <c r="N49" s="164" t="n"/>
      <c r="O49" s="164" t="n"/>
      <c r="P49" s="164" t="n"/>
      <c r="Q49" s="251" t="n"/>
      <c r="R49" s="252" t="n"/>
      <c r="S49" s="252" t="n"/>
      <c r="T49" s="9" t="n"/>
      <c r="U49" s="253" t="n"/>
      <c r="V49" s="253" t="n"/>
      <c r="W49" s="253" t="n"/>
      <c r="X49" s="253" t="n"/>
      <c r="Y49" s="253" t="n"/>
      <c r="Z49" s="253" t="n"/>
    </row>
    <row r="50">
      <c r="A50" s="900">
        <f>A9</f>
        <v/>
      </c>
      <c r="B50" s="927">
        <f>B9</f>
        <v/>
      </c>
      <c r="C50" s="142" t="inlineStr">
        <is>
          <t>下水臭</t>
        </is>
      </c>
      <c r="D50" s="142" t="inlineStr">
        <is>
          <t>活性汚泥臭</t>
        </is>
      </c>
      <c r="E50" s="142" t="inlineStr">
        <is>
          <t>活性汚泥臭</t>
        </is>
      </c>
      <c r="F50" s="142" t="inlineStr">
        <is>
          <t>無</t>
        </is>
      </c>
      <c r="G50" s="142" t="inlineStr">
        <is>
          <t>無</t>
        </is>
      </c>
      <c r="H50" s="255" t="inlineStr">
        <is>
          <t>無</t>
        </is>
      </c>
      <c r="I50" s="256" t="n"/>
      <c r="J50" s="257" t="n"/>
      <c r="K50" s="256" t="n"/>
      <c r="L50" s="141" t="n"/>
      <c r="M50" s="141" t="n"/>
      <c r="N50" s="258" t="n"/>
      <c r="O50" s="258" t="n"/>
      <c r="P50" s="141" t="n"/>
      <c r="Q50" s="259" t="n"/>
      <c r="R50" s="260" t="n"/>
      <c r="S50" s="260" t="n"/>
      <c r="T50" s="9" t="n"/>
      <c r="U50" s="9" t="n"/>
      <c r="V50" s="9" t="n"/>
      <c r="W50" s="9" t="n"/>
      <c r="X50" s="9" t="n"/>
      <c r="Y50" s="9" t="n"/>
      <c r="Z50" s="9" t="n"/>
    </row>
    <row r="51">
      <c r="A51" s="900">
        <f>A10</f>
        <v/>
      </c>
      <c r="B51" s="927">
        <f>B10</f>
        <v/>
      </c>
      <c r="C51" s="142" t="inlineStr">
        <is>
          <t>下水臭</t>
        </is>
      </c>
      <c r="D51" s="142" t="inlineStr">
        <is>
          <t>活性汚泥臭</t>
        </is>
      </c>
      <c r="E51" s="142" t="inlineStr">
        <is>
          <t>活性汚泥臭</t>
        </is>
      </c>
      <c r="F51" s="142" t="inlineStr">
        <is>
          <t>無</t>
        </is>
      </c>
      <c r="G51" s="142" t="inlineStr">
        <is>
          <t>無</t>
        </is>
      </c>
      <c r="H51" s="255" t="inlineStr">
        <is>
          <t>無</t>
        </is>
      </c>
      <c r="I51" s="256" t="n"/>
      <c r="J51" s="257" t="n"/>
      <c r="K51" s="256" t="n"/>
      <c r="L51" s="141" t="n"/>
      <c r="M51" s="141" t="n"/>
      <c r="N51" s="258" t="n"/>
      <c r="O51" s="258" t="n"/>
      <c r="P51" s="141" t="n"/>
      <c r="Q51" s="259" t="n"/>
      <c r="R51" s="260" t="n"/>
      <c r="S51" s="260" t="n"/>
      <c r="T51" s="9" t="n"/>
      <c r="U51" s="9" t="n"/>
      <c r="V51" s="9" t="n"/>
      <c r="W51" s="9" t="n"/>
      <c r="X51" s="9" t="n"/>
      <c r="Y51" s="9" t="n"/>
      <c r="Z51" s="9" t="n"/>
    </row>
    <row r="52">
      <c r="A52" s="900">
        <f>A11</f>
        <v/>
      </c>
      <c r="B52" s="927">
        <f>B11</f>
        <v/>
      </c>
      <c r="C52" s="142" t="inlineStr">
        <is>
          <t>下水臭</t>
        </is>
      </c>
      <c r="D52" s="142" t="inlineStr">
        <is>
          <t>活性汚泥臭</t>
        </is>
      </c>
      <c r="E52" s="142" t="inlineStr">
        <is>
          <t>活性汚泥臭</t>
        </is>
      </c>
      <c r="F52" s="142" t="inlineStr">
        <is>
          <t>無</t>
        </is>
      </c>
      <c r="G52" s="142" t="inlineStr">
        <is>
          <t>無</t>
        </is>
      </c>
      <c r="H52" s="255" t="inlineStr">
        <is>
          <t>無</t>
        </is>
      </c>
      <c r="I52" s="256" t="n"/>
      <c r="J52" s="257" t="n"/>
      <c r="K52" s="261" t="n"/>
      <c r="L52" s="262" t="n"/>
      <c r="M52" s="257" t="n"/>
      <c r="N52" s="258" t="n"/>
      <c r="O52" s="263" t="n"/>
      <c r="P52" s="264" t="n"/>
      <c r="Q52" s="259" t="n"/>
      <c r="R52" s="265" t="n"/>
      <c r="S52" s="266" t="n"/>
      <c r="T52" s="9" t="n"/>
      <c r="U52" s="9" t="n"/>
      <c r="V52" s="9" t="n"/>
      <c r="W52" s="9" t="n"/>
      <c r="X52" s="9" t="n"/>
      <c r="Y52" s="9" t="n"/>
      <c r="Z52" s="9" t="n"/>
    </row>
    <row r="53">
      <c r="A53" s="900">
        <f>A12</f>
        <v/>
      </c>
      <c r="B53" s="927">
        <f>B12</f>
        <v/>
      </c>
      <c r="C53" s="142" t="inlineStr">
        <is>
          <t>下水臭</t>
        </is>
      </c>
      <c r="D53" s="142" t="inlineStr">
        <is>
          <t>活性汚泥臭</t>
        </is>
      </c>
      <c r="E53" s="142" t="inlineStr">
        <is>
          <t>活性汚泥臭</t>
        </is>
      </c>
      <c r="F53" s="142" t="inlineStr">
        <is>
          <t>無</t>
        </is>
      </c>
      <c r="G53" s="142" t="inlineStr">
        <is>
          <t>無</t>
        </is>
      </c>
      <c r="H53" s="255" t="inlineStr">
        <is>
          <t>無</t>
        </is>
      </c>
      <c r="I53" s="256" t="n"/>
      <c r="J53" s="257" t="n"/>
      <c r="K53" s="261" t="n"/>
      <c r="L53" s="262" t="n"/>
      <c r="M53" s="257" t="n"/>
      <c r="N53" s="258" t="n"/>
      <c r="O53" s="263" t="n"/>
      <c r="P53" s="264" t="n"/>
      <c r="Q53" s="259" t="n"/>
      <c r="R53" s="265" t="n"/>
      <c r="S53" s="266" t="n"/>
      <c r="T53" s="9" t="n"/>
      <c r="U53" s="9" t="n"/>
      <c r="V53" s="9" t="n"/>
      <c r="W53" s="9" t="n"/>
      <c r="X53" s="9" t="n"/>
      <c r="Y53" s="9" t="n"/>
      <c r="Z53" s="9" t="n"/>
    </row>
    <row r="54">
      <c r="A54" s="900">
        <f>A13</f>
        <v/>
      </c>
      <c r="B54" s="927">
        <f>B13</f>
        <v/>
      </c>
      <c r="C54" s="142" t="inlineStr">
        <is>
          <t>下水臭</t>
        </is>
      </c>
      <c r="D54" s="142" t="inlineStr">
        <is>
          <t>活性汚泥臭</t>
        </is>
      </c>
      <c r="E54" s="142" t="inlineStr">
        <is>
          <t>活性汚泥臭</t>
        </is>
      </c>
      <c r="F54" s="142" t="inlineStr">
        <is>
          <t>無</t>
        </is>
      </c>
      <c r="G54" s="142" t="inlineStr">
        <is>
          <t>無</t>
        </is>
      </c>
      <c r="H54" s="255" t="inlineStr">
        <is>
          <t>無</t>
        </is>
      </c>
      <c r="I54" s="256" t="n"/>
      <c r="J54" s="257" t="n"/>
      <c r="K54" s="261" t="n"/>
      <c r="L54" s="262" t="n"/>
      <c r="M54" s="257" t="n"/>
      <c r="N54" s="258" t="n"/>
      <c r="O54" s="263" t="n"/>
      <c r="P54" s="264" t="n"/>
      <c r="Q54" s="259" t="n"/>
      <c r="R54" s="265" t="n"/>
      <c r="S54" s="266" t="n"/>
      <c r="T54" s="9" t="n"/>
      <c r="U54" s="9" t="n"/>
      <c r="V54" s="9" t="n"/>
      <c r="W54" s="9" t="n"/>
      <c r="X54" s="9" t="n"/>
      <c r="Y54" s="9" t="n"/>
      <c r="Z54" s="9" t="n"/>
    </row>
    <row r="55">
      <c r="A55" s="900">
        <f>A14</f>
        <v/>
      </c>
      <c r="B55" s="927">
        <f>B14</f>
        <v/>
      </c>
      <c r="C55" s="142" t="n"/>
      <c r="D55" s="142" t="n"/>
      <c r="E55" s="142" t="n"/>
      <c r="F55" s="142" t="n"/>
      <c r="G55" s="142" t="n"/>
      <c r="H55" s="255" t="n"/>
      <c r="I55" s="256" t="n"/>
      <c r="J55" s="257" t="n"/>
      <c r="K55" s="261" t="n"/>
      <c r="L55" s="262" t="n"/>
      <c r="M55" s="257" t="n"/>
      <c r="N55" s="141" t="n"/>
      <c r="O55" s="267" t="n"/>
      <c r="P55" s="264" t="n"/>
      <c r="Q55" s="259" t="n"/>
      <c r="R55" s="265" t="n"/>
      <c r="S55" s="266" t="n"/>
      <c r="T55" s="9" t="n"/>
      <c r="U55" s="9" t="n"/>
      <c r="V55" s="9" t="n"/>
      <c r="W55" s="9" t="n"/>
      <c r="X55" s="9" t="n"/>
      <c r="Y55" s="9" t="n"/>
      <c r="Z55" s="9" t="n"/>
    </row>
    <row r="56">
      <c r="A56" s="900">
        <f>A15</f>
        <v/>
      </c>
      <c r="B56" s="927">
        <f>B15</f>
        <v/>
      </c>
      <c r="C56" s="142" t="n"/>
      <c r="D56" s="142" t="n"/>
      <c r="E56" s="142" t="n"/>
      <c r="F56" s="142" t="n"/>
      <c r="G56" s="142" t="n"/>
      <c r="H56" s="255" t="n"/>
      <c r="I56" s="256" t="n"/>
      <c r="J56" s="257" t="n"/>
      <c r="K56" s="261" t="n"/>
      <c r="L56" s="262" t="n"/>
      <c r="M56" s="257" t="n"/>
      <c r="N56" s="141" t="n"/>
      <c r="O56" s="267" t="n"/>
      <c r="P56" s="264" t="n"/>
      <c r="Q56" s="259" t="n"/>
      <c r="R56" s="265" t="n"/>
      <c r="S56" s="266" t="n"/>
      <c r="T56" s="9" t="n"/>
      <c r="U56" s="9" t="n"/>
      <c r="V56" s="9" t="n"/>
      <c r="W56" s="9" t="n"/>
      <c r="X56" s="9" t="n"/>
      <c r="Y56" s="9" t="n"/>
      <c r="Z56" s="9" t="n"/>
    </row>
    <row r="57">
      <c r="A57" s="900">
        <f>A16</f>
        <v/>
      </c>
      <c r="B57" s="927">
        <f>B16</f>
        <v/>
      </c>
      <c r="C57" s="142" t="inlineStr">
        <is>
          <t>下水臭</t>
        </is>
      </c>
      <c r="D57" s="142" t="inlineStr">
        <is>
          <t>活性汚泥臭</t>
        </is>
      </c>
      <c r="E57" s="142" t="inlineStr">
        <is>
          <t>活性汚泥臭</t>
        </is>
      </c>
      <c r="F57" s="142" t="inlineStr">
        <is>
          <t>無</t>
        </is>
      </c>
      <c r="G57" s="142" t="inlineStr">
        <is>
          <t>無</t>
        </is>
      </c>
      <c r="H57" s="255" t="inlineStr">
        <is>
          <t>無</t>
        </is>
      </c>
      <c r="I57" s="256" t="n"/>
      <c r="J57" s="257" t="n"/>
      <c r="K57" s="261" t="n"/>
      <c r="L57" s="262" t="n"/>
      <c r="M57" s="257" t="n"/>
      <c r="N57" s="258" t="n"/>
      <c r="O57" s="263" t="n"/>
      <c r="P57" s="264" t="n"/>
      <c r="Q57" s="259" t="n"/>
      <c r="R57" s="265" t="n"/>
      <c r="S57" s="266" t="n"/>
      <c r="T57" s="9" t="n"/>
      <c r="U57" s="9" t="n"/>
      <c r="V57" s="9" t="n"/>
      <c r="W57" s="9" t="n"/>
      <c r="X57" s="9" t="n"/>
      <c r="Y57" s="9" t="n"/>
      <c r="Z57" s="9" t="n"/>
    </row>
    <row r="58">
      <c r="A58" s="900">
        <f>A17</f>
        <v/>
      </c>
      <c r="B58" s="927">
        <f>B17</f>
        <v/>
      </c>
      <c r="C58" s="142" t="inlineStr">
        <is>
          <t>下水臭</t>
        </is>
      </c>
      <c r="D58" s="142" t="inlineStr">
        <is>
          <t>活性汚泥臭</t>
        </is>
      </c>
      <c r="E58" s="142" t="inlineStr">
        <is>
          <t>活性汚泥臭</t>
        </is>
      </c>
      <c r="F58" s="142" t="inlineStr">
        <is>
          <t>無</t>
        </is>
      </c>
      <c r="G58" s="142" t="inlineStr">
        <is>
          <t>無</t>
        </is>
      </c>
      <c r="H58" s="255" t="inlineStr">
        <is>
          <t>無</t>
        </is>
      </c>
      <c r="I58" s="256" t="n"/>
      <c r="J58" s="257" t="n"/>
      <c r="K58" s="261" t="n"/>
      <c r="L58" s="262" t="n"/>
      <c r="M58" s="257" t="n"/>
      <c r="N58" s="258" t="n"/>
      <c r="O58" s="263" t="n"/>
      <c r="P58" s="264" t="n"/>
      <c r="Q58" s="259" t="n"/>
      <c r="R58" s="265" t="n"/>
      <c r="S58" s="266" t="n"/>
      <c r="T58" s="9" t="n"/>
      <c r="U58" s="9" t="n"/>
      <c r="V58" s="9" t="n"/>
      <c r="W58" s="9" t="n"/>
      <c r="X58" s="9" t="n"/>
      <c r="Y58" s="9" t="n"/>
      <c r="Z58" s="9" t="n"/>
    </row>
    <row r="59">
      <c r="A59" s="900">
        <f>A18</f>
        <v/>
      </c>
      <c r="B59" s="927">
        <f>B18</f>
        <v/>
      </c>
      <c r="C59" s="142" t="inlineStr">
        <is>
          <t>下水臭</t>
        </is>
      </c>
      <c r="D59" s="142" t="inlineStr">
        <is>
          <t>活性汚泥臭</t>
        </is>
      </c>
      <c r="E59" s="142" t="inlineStr">
        <is>
          <t>活性汚泥臭</t>
        </is>
      </c>
      <c r="F59" s="142" t="inlineStr">
        <is>
          <t>無</t>
        </is>
      </c>
      <c r="G59" s="142" t="inlineStr">
        <is>
          <t>無</t>
        </is>
      </c>
      <c r="H59" s="255" t="inlineStr">
        <is>
          <t>無</t>
        </is>
      </c>
      <c r="I59" s="256" t="n"/>
      <c r="J59" s="257" t="n"/>
      <c r="K59" s="261" t="n"/>
      <c r="L59" s="262" t="n"/>
      <c r="M59" s="257" t="n"/>
      <c r="N59" s="268" t="n"/>
      <c r="O59" s="269" t="n"/>
      <c r="P59" s="264" t="n"/>
      <c r="Q59" s="259" t="n"/>
      <c r="R59" s="265" t="n"/>
      <c r="S59" s="270" t="n"/>
      <c r="T59" s="9" t="n"/>
      <c r="U59" s="9" t="n"/>
      <c r="V59" s="9" t="n"/>
      <c r="W59" s="9" t="n"/>
      <c r="X59" s="9" t="n"/>
      <c r="Y59" s="9" t="n"/>
      <c r="Z59" s="9" t="n"/>
    </row>
    <row r="60">
      <c r="A60" s="900">
        <f>A19</f>
        <v/>
      </c>
      <c r="B60" s="927">
        <f>B19</f>
        <v/>
      </c>
      <c r="C60" s="142" t="inlineStr">
        <is>
          <t>下水臭</t>
        </is>
      </c>
      <c r="D60" s="142" t="inlineStr">
        <is>
          <t>活性汚泥臭</t>
        </is>
      </c>
      <c r="E60" s="142" t="inlineStr">
        <is>
          <t>活性汚泥臭</t>
        </is>
      </c>
      <c r="F60" s="142" t="inlineStr">
        <is>
          <t>無</t>
        </is>
      </c>
      <c r="G60" s="142" t="inlineStr">
        <is>
          <t>無</t>
        </is>
      </c>
      <c r="H60" s="255" t="inlineStr">
        <is>
          <t>無</t>
        </is>
      </c>
      <c r="I60" s="256" t="n"/>
      <c r="J60" s="257" t="n"/>
      <c r="K60" s="261" t="n"/>
      <c r="L60" s="262" t="n"/>
      <c r="M60" s="257" t="n"/>
      <c r="N60" s="258" t="n"/>
      <c r="O60" s="263" t="n"/>
      <c r="P60" s="264" t="n"/>
      <c r="Q60" s="259" t="n"/>
      <c r="R60" s="265" t="n"/>
      <c r="S60" s="266" t="n"/>
      <c r="T60" s="9" t="n"/>
      <c r="U60" s="9" t="n"/>
      <c r="V60" s="9" t="n"/>
      <c r="W60" s="9" t="n"/>
      <c r="X60" s="9" t="n"/>
      <c r="Y60" s="9" t="n"/>
      <c r="Z60" s="9" t="n"/>
    </row>
    <row r="61">
      <c r="A61" s="900">
        <f>A20</f>
        <v/>
      </c>
      <c r="B61" s="927">
        <f>B20</f>
        <v/>
      </c>
      <c r="C61" s="142" t="inlineStr">
        <is>
          <t>下水臭</t>
        </is>
      </c>
      <c r="D61" s="142" t="inlineStr">
        <is>
          <t>活性汚泥臭</t>
        </is>
      </c>
      <c r="E61" s="142" t="inlineStr">
        <is>
          <t>活性汚泥臭</t>
        </is>
      </c>
      <c r="F61" s="142" t="inlineStr">
        <is>
          <t>無</t>
        </is>
      </c>
      <c r="G61" s="142" t="inlineStr">
        <is>
          <t>無</t>
        </is>
      </c>
      <c r="H61" s="255" t="inlineStr">
        <is>
          <t>無</t>
        </is>
      </c>
      <c r="I61" s="256" t="n"/>
      <c r="J61" s="257" t="n"/>
      <c r="K61" s="261" t="n"/>
      <c r="L61" s="262" t="n"/>
      <c r="M61" s="257" t="n"/>
      <c r="N61" s="258" t="n"/>
      <c r="O61" s="263" t="n"/>
      <c r="P61" s="264" t="n"/>
      <c r="Q61" s="259" t="n"/>
      <c r="R61" s="265" t="n"/>
      <c r="S61" s="266" t="n"/>
      <c r="T61" s="9" t="n"/>
      <c r="U61" s="9" t="n"/>
      <c r="V61" s="9" t="n"/>
      <c r="W61" s="9" t="n"/>
      <c r="X61" s="9" t="n"/>
      <c r="Y61" s="9" t="n"/>
      <c r="Z61" s="9" t="n"/>
    </row>
    <row r="62">
      <c r="A62" s="900">
        <f>A21</f>
        <v/>
      </c>
      <c r="B62" s="927">
        <f>B21</f>
        <v/>
      </c>
      <c r="C62" s="142" t="n"/>
      <c r="D62" s="142" t="n"/>
      <c r="E62" s="142" t="n"/>
      <c r="F62" s="142" t="n"/>
      <c r="G62" s="142" t="n"/>
      <c r="H62" s="255" t="n"/>
      <c r="I62" s="256" t="n"/>
      <c r="J62" s="257" t="n"/>
      <c r="K62" s="261" t="n"/>
      <c r="L62" s="262" t="n"/>
      <c r="M62" s="257" t="n"/>
      <c r="N62" s="141" t="n"/>
      <c r="O62" s="267" t="n"/>
      <c r="P62" s="264" t="n"/>
      <c r="Q62" s="259" t="n"/>
      <c r="R62" s="265" t="n"/>
      <c r="S62" s="266" t="n"/>
      <c r="T62" s="9" t="n"/>
      <c r="U62" s="9" t="n"/>
      <c r="V62" s="9" t="n"/>
      <c r="W62" s="9" t="n"/>
      <c r="X62" s="9" t="n"/>
      <c r="Y62" s="9" t="n"/>
      <c r="Z62" s="9" t="n"/>
    </row>
    <row r="63">
      <c r="A63" s="900">
        <f>A22</f>
        <v/>
      </c>
      <c r="B63" s="927">
        <f>B22</f>
        <v/>
      </c>
      <c r="C63" s="142" t="n"/>
      <c r="D63" s="142" t="n"/>
      <c r="E63" s="142" t="n"/>
      <c r="F63" s="142" t="n"/>
      <c r="G63" s="142" t="n"/>
      <c r="H63" s="255" t="n"/>
      <c r="I63" s="256" t="n"/>
      <c r="J63" s="257" t="n"/>
      <c r="K63" s="261" t="n"/>
      <c r="L63" s="262" t="n"/>
      <c r="M63" s="257" t="n"/>
      <c r="N63" s="141" t="n"/>
      <c r="O63" s="267" t="n"/>
      <c r="P63" s="264" t="n"/>
      <c r="Q63" s="259" t="n"/>
      <c r="R63" s="265" t="n"/>
      <c r="S63" s="266" t="n"/>
      <c r="T63" s="9" t="n"/>
      <c r="U63" s="9" t="n"/>
      <c r="V63" s="9" t="n"/>
      <c r="W63" s="9" t="n"/>
      <c r="X63" s="9" t="n"/>
      <c r="Y63" s="9" t="n"/>
      <c r="Z63" s="9" t="n"/>
    </row>
    <row r="64">
      <c r="A64" s="900">
        <f>A23</f>
        <v/>
      </c>
      <c r="B64" s="927">
        <f>B23</f>
        <v/>
      </c>
      <c r="C64" s="142" t="inlineStr">
        <is>
          <t>下水臭</t>
        </is>
      </c>
      <c r="D64" s="142" t="inlineStr">
        <is>
          <t>活性汚泥臭</t>
        </is>
      </c>
      <c r="E64" s="142" t="inlineStr">
        <is>
          <t>活性汚泥臭</t>
        </is>
      </c>
      <c r="F64" s="142" t="inlineStr">
        <is>
          <t>無</t>
        </is>
      </c>
      <c r="G64" s="142" t="inlineStr">
        <is>
          <t>無</t>
        </is>
      </c>
      <c r="H64" s="255" t="inlineStr">
        <is>
          <t>無</t>
        </is>
      </c>
      <c r="I64" s="256" t="n"/>
      <c r="J64" s="257" t="n"/>
      <c r="K64" s="261" t="n"/>
      <c r="L64" s="262" t="n"/>
      <c r="M64" s="257" t="n"/>
      <c r="N64" s="258" t="n"/>
      <c r="O64" s="263" t="n"/>
      <c r="P64" s="264" t="n"/>
      <c r="Q64" s="259" t="n"/>
      <c r="R64" s="265" t="n"/>
      <c r="S64" s="266" t="n"/>
      <c r="T64" s="9" t="n"/>
      <c r="U64" s="9" t="n"/>
      <c r="V64" s="9" t="n"/>
      <c r="W64" s="9" t="n"/>
      <c r="X64" s="9" t="n"/>
      <c r="Y64" s="9" t="n"/>
      <c r="Z64" s="9" t="n"/>
    </row>
    <row r="65">
      <c r="A65" s="900">
        <f>A24</f>
        <v/>
      </c>
      <c r="B65" s="927">
        <f>B24</f>
        <v/>
      </c>
      <c r="C65" s="142" t="inlineStr">
        <is>
          <t>下水臭</t>
        </is>
      </c>
      <c r="D65" s="142" t="inlineStr">
        <is>
          <t>活性汚泥臭</t>
        </is>
      </c>
      <c r="E65" s="142" t="inlineStr">
        <is>
          <t>活性汚泥臭</t>
        </is>
      </c>
      <c r="F65" s="142" t="inlineStr">
        <is>
          <t>無</t>
        </is>
      </c>
      <c r="G65" s="142" t="inlineStr">
        <is>
          <t>無</t>
        </is>
      </c>
      <c r="H65" s="255" t="inlineStr">
        <is>
          <t>無</t>
        </is>
      </c>
      <c r="I65" s="256" t="n"/>
      <c r="J65" s="257" t="n"/>
      <c r="K65" s="261" t="n"/>
      <c r="L65" s="262" t="n"/>
      <c r="M65" s="257" t="n"/>
      <c r="N65" s="258" t="n"/>
      <c r="O65" s="263" t="n"/>
      <c r="P65" s="264" t="n"/>
      <c r="Q65" s="259" t="n"/>
      <c r="R65" s="265" t="n"/>
      <c r="S65" s="266" t="n"/>
      <c r="T65" s="9" t="n"/>
      <c r="U65" s="9" t="n"/>
      <c r="V65" s="9" t="n"/>
      <c r="W65" s="9" t="n"/>
      <c r="X65" s="9" t="n"/>
      <c r="Y65" s="9" t="n"/>
      <c r="Z65" s="9" t="n"/>
    </row>
    <row r="66">
      <c r="A66" s="900">
        <f>A25</f>
        <v/>
      </c>
      <c r="B66" s="927">
        <f>B25</f>
        <v/>
      </c>
      <c r="C66" s="142" t="inlineStr">
        <is>
          <t>下水臭</t>
        </is>
      </c>
      <c r="D66" s="142" t="inlineStr">
        <is>
          <t>活性汚泥臭</t>
        </is>
      </c>
      <c r="E66" s="142" t="inlineStr">
        <is>
          <t>活性汚泥臭</t>
        </is>
      </c>
      <c r="F66" s="142" t="inlineStr">
        <is>
          <t>無</t>
        </is>
      </c>
      <c r="G66" s="142" t="inlineStr">
        <is>
          <t>無</t>
        </is>
      </c>
      <c r="H66" s="255" t="inlineStr">
        <is>
          <t>無</t>
        </is>
      </c>
      <c r="I66" s="256" t="n"/>
      <c r="J66" s="257" t="n"/>
      <c r="K66" s="261" t="n"/>
      <c r="L66" s="262" t="n"/>
      <c r="M66" s="257" t="n"/>
      <c r="N66" s="258" t="n"/>
      <c r="O66" s="263" t="n"/>
      <c r="P66" s="264" t="n"/>
      <c r="Q66" s="259" t="n"/>
      <c r="R66" s="265" t="n"/>
      <c r="S66" s="270" t="n"/>
      <c r="T66" s="9" t="n"/>
      <c r="U66" s="9" t="n"/>
      <c r="V66" s="9" t="n"/>
      <c r="W66" s="9" t="n"/>
      <c r="X66" s="9" t="n"/>
      <c r="Y66" s="9" t="n"/>
      <c r="Z66" s="9" t="n"/>
    </row>
    <row r="67">
      <c r="A67" s="900">
        <f>A26</f>
        <v/>
      </c>
      <c r="B67" s="927">
        <f>B26</f>
        <v/>
      </c>
      <c r="C67" s="142" t="inlineStr">
        <is>
          <t>下水臭</t>
        </is>
      </c>
      <c r="D67" s="142" t="inlineStr">
        <is>
          <t>活性汚泥臭</t>
        </is>
      </c>
      <c r="E67" s="142" t="inlineStr">
        <is>
          <t>活性汚泥臭</t>
        </is>
      </c>
      <c r="F67" s="142" t="inlineStr">
        <is>
          <t>無</t>
        </is>
      </c>
      <c r="G67" s="142" t="inlineStr">
        <is>
          <t>無</t>
        </is>
      </c>
      <c r="H67" s="255" t="inlineStr">
        <is>
          <t>無</t>
        </is>
      </c>
      <c r="I67" s="256" t="n"/>
      <c r="J67" s="257" t="n"/>
      <c r="K67" s="261" t="n"/>
      <c r="L67" s="262" t="n"/>
      <c r="M67" s="257" t="n"/>
      <c r="N67" s="258" t="n"/>
      <c r="O67" s="263" t="n"/>
      <c r="P67" s="264" t="n"/>
      <c r="Q67" s="259" t="n"/>
      <c r="R67" s="265" t="n"/>
      <c r="S67" s="270" t="n"/>
      <c r="T67" s="9" t="n"/>
      <c r="U67" s="9" t="n"/>
      <c r="V67" s="9" t="n"/>
      <c r="W67" s="9" t="n"/>
      <c r="X67" s="9" t="n"/>
      <c r="Y67" s="9" t="n"/>
      <c r="Z67" s="9" t="n"/>
    </row>
    <row r="68">
      <c r="A68" s="900">
        <f>A27</f>
        <v/>
      </c>
      <c r="B68" s="927">
        <f>B27</f>
        <v/>
      </c>
      <c r="C68" s="142" t="inlineStr">
        <is>
          <t>下水臭</t>
        </is>
      </c>
      <c r="D68" s="142" t="inlineStr">
        <is>
          <t>活性汚泥臭</t>
        </is>
      </c>
      <c r="E68" s="142" t="inlineStr">
        <is>
          <t>活性汚泥臭</t>
        </is>
      </c>
      <c r="F68" s="142" t="inlineStr">
        <is>
          <t>無</t>
        </is>
      </c>
      <c r="G68" s="142" t="inlineStr">
        <is>
          <t>無</t>
        </is>
      </c>
      <c r="H68" s="255" t="inlineStr">
        <is>
          <t>無</t>
        </is>
      </c>
      <c r="I68" s="256" t="n"/>
      <c r="J68" s="257" t="n"/>
      <c r="K68" s="261" t="n"/>
      <c r="L68" s="262" t="n"/>
      <c r="M68" s="257" t="n"/>
      <c r="N68" s="258" t="n"/>
      <c r="O68" s="263" t="n"/>
      <c r="P68" s="264" t="n"/>
      <c r="Q68" s="259" t="n"/>
      <c r="R68" s="265" t="n"/>
      <c r="S68" s="270" t="n"/>
      <c r="T68" s="9" t="n"/>
      <c r="U68" s="9" t="n"/>
      <c r="V68" s="9" t="n"/>
      <c r="W68" s="9" t="n"/>
      <c r="X68" s="9" t="n"/>
      <c r="Y68" s="9" t="n"/>
      <c r="Z68" s="9" t="n"/>
    </row>
    <row r="69">
      <c r="A69" s="900">
        <f>A28</f>
        <v/>
      </c>
      <c r="B69" s="927">
        <f>B28</f>
        <v/>
      </c>
      <c r="C69" s="142" t="n"/>
      <c r="D69" s="142" t="n"/>
      <c r="E69" s="142" t="n"/>
      <c r="F69" s="142" t="n"/>
      <c r="G69" s="142" t="n"/>
      <c r="H69" s="255" t="n"/>
      <c r="I69" s="256" t="n"/>
      <c r="J69" s="257" t="n"/>
      <c r="K69" s="261" t="n"/>
      <c r="L69" s="262" t="n"/>
      <c r="M69" s="257" t="n"/>
      <c r="N69" s="141" t="n"/>
      <c r="O69" s="267" t="n"/>
      <c r="P69" s="264" t="n"/>
      <c r="Q69" s="259" t="n"/>
      <c r="R69" s="265" t="n"/>
      <c r="S69" s="270" t="n"/>
      <c r="T69" s="9" t="n"/>
      <c r="U69" s="9" t="n"/>
      <c r="V69" s="9" t="n"/>
      <c r="W69" s="9" t="n"/>
      <c r="X69" s="9" t="n"/>
      <c r="Y69" s="9" t="n"/>
      <c r="Z69" s="9" t="n"/>
    </row>
    <row r="70">
      <c r="A70" s="900">
        <f>A29</f>
        <v/>
      </c>
      <c r="B70" s="927">
        <f>B29</f>
        <v/>
      </c>
      <c r="C70" s="142" t="n"/>
      <c r="D70" s="142" t="n"/>
      <c r="E70" s="142" t="n"/>
      <c r="F70" s="142" t="n"/>
      <c r="G70" s="142" t="n"/>
      <c r="H70" s="255" t="n"/>
      <c r="I70" s="256" t="n"/>
      <c r="J70" s="257" t="n"/>
      <c r="K70" s="261" t="n"/>
      <c r="L70" s="262" t="n"/>
      <c r="M70" s="257" t="n"/>
      <c r="N70" s="141" t="n"/>
      <c r="O70" s="267" t="n"/>
      <c r="P70" s="264" t="n"/>
      <c r="Q70" s="259" t="n"/>
      <c r="R70" s="265" t="n"/>
      <c r="S70" s="270" t="n"/>
      <c r="T70" s="9" t="n"/>
      <c r="U70" s="9" t="n"/>
      <c r="V70" s="9" t="n"/>
      <c r="W70" s="9" t="n"/>
      <c r="X70" s="9" t="n"/>
      <c r="Y70" s="9" t="n"/>
      <c r="Z70" s="9" t="n"/>
    </row>
    <row r="71">
      <c r="A71" s="900">
        <f>A30</f>
        <v/>
      </c>
      <c r="B71" s="927">
        <f>B30</f>
        <v/>
      </c>
      <c r="C71" s="142" t="inlineStr">
        <is>
          <t>下水臭</t>
        </is>
      </c>
      <c r="D71" s="142" t="inlineStr">
        <is>
          <t>活性汚泥臭</t>
        </is>
      </c>
      <c r="E71" s="142" t="inlineStr">
        <is>
          <t>活性汚泥臭</t>
        </is>
      </c>
      <c r="F71" s="142" t="inlineStr">
        <is>
          <t>無</t>
        </is>
      </c>
      <c r="G71" s="142" t="inlineStr">
        <is>
          <t>無</t>
        </is>
      </c>
      <c r="H71" s="255" t="inlineStr">
        <is>
          <t>無</t>
        </is>
      </c>
      <c r="I71" s="256" t="n"/>
      <c r="J71" s="257" t="n"/>
      <c r="K71" s="261" t="n"/>
      <c r="L71" s="262" t="n"/>
      <c r="M71" s="257" t="n"/>
      <c r="N71" s="258" t="n"/>
      <c r="O71" s="263" t="n"/>
      <c r="P71" s="264" t="n"/>
      <c r="Q71" s="259" t="n"/>
      <c r="R71" s="265" t="n"/>
      <c r="S71" s="266" t="n"/>
      <c r="T71" s="9" t="n"/>
      <c r="U71" s="9" t="n"/>
      <c r="V71" s="9" t="n"/>
      <c r="W71" s="9" t="n"/>
      <c r="X71" s="9" t="n"/>
      <c r="Y71" s="9" t="n"/>
      <c r="Z71" s="9" t="n"/>
    </row>
    <row r="72">
      <c r="A72" s="900">
        <f>A31</f>
        <v/>
      </c>
      <c r="B72" s="927">
        <f>B31</f>
        <v/>
      </c>
      <c r="C72" s="142" t="inlineStr">
        <is>
          <t>下水臭</t>
        </is>
      </c>
      <c r="D72" s="142" t="inlineStr">
        <is>
          <t>活性汚泥臭</t>
        </is>
      </c>
      <c r="E72" s="142" t="inlineStr">
        <is>
          <t>活性汚泥臭</t>
        </is>
      </c>
      <c r="F72" s="142" t="inlineStr">
        <is>
          <t>無</t>
        </is>
      </c>
      <c r="G72" s="142" t="inlineStr">
        <is>
          <t>無</t>
        </is>
      </c>
      <c r="H72" s="255" t="inlineStr">
        <is>
          <t>無</t>
        </is>
      </c>
      <c r="I72" s="256" t="n"/>
      <c r="J72" s="257" t="n"/>
      <c r="K72" s="261" t="n"/>
      <c r="L72" s="262" t="n"/>
      <c r="M72" s="257" t="n"/>
      <c r="N72" s="258" t="n"/>
      <c r="O72" s="263" t="n"/>
      <c r="P72" s="264" t="n"/>
      <c r="Q72" s="259" t="n"/>
      <c r="R72" s="265" t="n"/>
      <c r="S72" s="270" t="n"/>
      <c r="T72" s="9" t="n"/>
      <c r="U72" s="9" t="n"/>
      <c r="V72" s="9" t="n"/>
      <c r="W72" s="9" t="n"/>
      <c r="X72" s="9" t="n"/>
      <c r="Y72" s="9" t="n"/>
      <c r="Z72" s="9" t="n"/>
    </row>
    <row r="73">
      <c r="A73" s="900">
        <f>A32</f>
        <v/>
      </c>
      <c r="B73" s="927">
        <f>B32</f>
        <v/>
      </c>
      <c r="C73" s="142" t="inlineStr">
        <is>
          <t>下水臭</t>
        </is>
      </c>
      <c r="D73" s="142" t="inlineStr">
        <is>
          <t>活性汚泥臭</t>
        </is>
      </c>
      <c r="E73" s="142" t="inlineStr">
        <is>
          <t>活性汚泥臭</t>
        </is>
      </c>
      <c r="F73" s="142" t="inlineStr">
        <is>
          <t>無</t>
        </is>
      </c>
      <c r="G73" s="142" t="inlineStr">
        <is>
          <t>無</t>
        </is>
      </c>
      <c r="H73" s="255" t="inlineStr">
        <is>
          <t>無</t>
        </is>
      </c>
      <c r="I73" s="256" t="n"/>
      <c r="J73" s="257" t="n"/>
      <c r="K73" s="261" t="n"/>
      <c r="L73" s="262" t="n"/>
      <c r="M73" s="257" t="n"/>
      <c r="N73" s="268" t="n"/>
      <c r="O73" s="269" t="n"/>
      <c r="P73" s="264" t="n"/>
      <c r="Q73" s="259" t="n"/>
      <c r="R73" s="265" t="n"/>
      <c r="S73" s="270" t="n"/>
      <c r="T73" s="9" t="n"/>
      <c r="U73" s="9" t="n"/>
      <c r="V73" s="9" t="n"/>
      <c r="W73" s="9" t="n"/>
      <c r="X73" s="9" t="n"/>
      <c r="Y73" s="9" t="n"/>
      <c r="Z73" s="9" t="n"/>
    </row>
    <row r="74">
      <c r="A74" s="900">
        <f>A33</f>
        <v/>
      </c>
      <c r="B74" s="927">
        <f>B33</f>
        <v/>
      </c>
      <c r="C74" s="142" t="inlineStr">
        <is>
          <t>下水臭</t>
        </is>
      </c>
      <c r="D74" s="142" t="inlineStr">
        <is>
          <t>活性汚泥臭</t>
        </is>
      </c>
      <c r="E74" s="142" t="inlineStr">
        <is>
          <t>活性汚泥臭</t>
        </is>
      </c>
      <c r="F74" s="142" t="inlineStr">
        <is>
          <t>無</t>
        </is>
      </c>
      <c r="G74" s="142" t="inlineStr">
        <is>
          <t>無</t>
        </is>
      </c>
      <c r="H74" s="255" t="inlineStr">
        <is>
          <t>無</t>
        </is>
      </c>
      <c r="I74" s="256" t="n"/>
      <c r="J74" s="257" t="n"/>
      <c r="K74" s="261" t="n"/>
      <c r="L74" s="262" t="n"/>
      <c r="M74" s="257" t="n"/>
      <c r="N74" s="268" t="n"/>
      <c r="O74" s="269" t="n"/>
      <c r="P74" s="264" t="n"/>
      <c r="Q74" s="259" t="n"/>
      <c r="R74" s="265" t="n"/>
      <c r="S74" s="270" t="n"/>
      <c r="T74" s="9" t="n"/>
      <c r="U74" s="9" t="n"/>
      <c r="V74" s="9" t="n"/>
      <c r="W74" s="9" t="n"/>
      <c r="X74" s="9" t="n"/>
      <c r="Y74" s="9" t="n"/>
      <c r="Z74" s="9" t="n"/>
    </row>
    <row r="75">
      <c r="A75" s="900">
        <f>A34</f>
        <v/>
      </c>
      <c r="B75" s="927">
        <f>B34</f>
        <v/>
      </c>
      <c r="C75" s="142" t="inlineStr">
        <is>
          <t>下水臭</t>
        </is>
      </c>
      <c r="D75" s="142" t="inlineStr">
        <is>
          <t>活性汚泥臭</t>
        </is>
      </c>
      <c r="E75" s="142" t="inlineStr">
        <is>
          <t>活性汚泥臭</t>
        </is>
      </c>
      <c r="F75" s="142" t="inlineStr">
        <is>
          <t>無</t>
        </is>
      </c>
      <c r="G75" s="142" t="inlineStr">
        <is>
          <t>無</t>
        </is>
      </c>
      <c r="H75" s="255" t="inlineStr">
        <is>
          <t>無</t>
        </is>
      </c>
      <c r="I75" s="256" t="n"/>
      <c r="J75" s="257" t="n"/>
      <c r="K75" s="261" t="n"/>
      <c r="L75" s="262" t="n"/>
      <c r="M75" s="257" t="n"/>
      <c r="N75" s="268" t="n"/>
      <c r="O75" s="269" t="n"/>
      <c r="P75" s="264" t="n"/>
      <c r="Q75" s="259" t="n"/>
      <c r="R75" s="265" t="n"/>
      <c r="S75" s="270" t="n"/>
      <c r="T75" s="9" t="n"/>
      <c r="U75" s="9" t="n"/>
      <c r="V75" s="9" t="n"/>
      <c r="W75" s="9" t="n"/>
      <c r="X75" s="9" t="n"/>
      <c r="Y75" s="9" t="n"/>
      <c r="Z75" s="9" t="n"/>
    </row>
    <row r="76">
      <c r="A76" s="900">
        <f>A35</f>
        <v/>
      </c>
      <c r="B76" s="927">
        <f>B35</f>
        <v/>
      </c>
      <c r="C76" s="142" t="n"/>
      <c r="D76" s="142" t="n"/>
      <c r="E76" s="142" t="n"/>
      <c r="F76" s="142" t="n"/>
      <c r="G76" s="142" t="n"/>
      <c r="H76" s="255" t="n"/>
      <c r="I76" s="256" t="n"/>
      <c r="J76" s="257" t="n"/>
      <c r="K76" s="261" t="n"/>
      <c r="L76" s="262" t="n"/>
      <c r="M76" s="257" t="n"/>
      <c r="N76" s="262" t="n"/>
      <c r="O76" s="257" t="n"/>
      <c r="P76" s="264" t="n"/>
      <c r="Q76" s="259" t="n"/>
      <c r="R76" s="265" t="n"/>
      <c r="S76" s="270" t="n"/>
      <c r="T76" s="9" t="n"/>
      <c r="U76" s="9" t="n"/>
      <c r="V76" s="9" t="n"/>
      <c r="W76" s="9" t="n"/>
      <c r="X76" s="9" t="n"/>
      <c r="Y76" s="9" t="n"/>
      <c r="Z76" s="9" t="n"/>
    </row>
    <row r="77">
      <c r="A77" s="900">
        <f>A36</f>
        <v/>
      </c>
      <c r="B77" s="927">
        <f>B36</f>
        <v/>
      </c>
      <c r="C77" s="142" t="n"/>
      <c r="D77" s="142" t="n"/>
      <c r="E77" s="142" t="n"/>
      <c r="F77" s="142" t="n"/>
      <c r="G77" s="142" t="n"/>
      <c r="H77" s="255" t="n"/>
      <c r="I77" s="256" t="n"/>
      <c r="J77" s="257" t="n"/>
      <c r="K77" s="261" t="n"/>
      <c r="L77" s="262" t="n"/>
      <c r="M77" s="257" t="n"/>
      <c r="N77" s="262" t="n"/>
      <c r="O77" s="257" t="n"/>
      <c r="P77" s="264" t="n"/>
      <c r="Q77" s="259" t="n"/>
      <c r="R77" s="265" t="n"/>
      <c r="S77" s="270" t="n"/>
      <c r="T77" s="9" t="n"/>
      <c r="U77" s="9" t="n"/>
      <c r="V77" s="9" t="n"/>
      <c r="W77" s="9" t="n"/>
      <c r="X77" s="9" t="n"/>
      <c r="Y77" s="9" t="n"/>
      <c r="Z77" s="9" t="n"/>
    </row>
    <row r="78">
      <c r="A78" s="900">
        <f>A37</f>
        <v/>
      </c>
      <c r="B78" s="927">
        <f>B37</f>
        <v/>
      </c>
      <c r="C78" s="142" t="inlineStr">
        <is>
          <t>下水臭</t>
        </is>
      </c>
      <c r="D78" s="142" t="inlineStr">
        <is>
          <t>活性汚泥臭</t>
        </is>
      </c>
      <c r="E78" s="142" t="inlineStr">
        <is>
          <t>活性汚泥臭</t>
        </is>
      </c>
      <c r="F78" s="142" t="inlineStr">
        <is>
          <t>無</t>
        </is>
      </c>
      <c r="G78" s="142" t="inlineStr">
        <is>
          <t>無</t>
        </is>
      </c>
      <c r="H78" s="255" t="inlineStr">
        <is>
          <t>無</t>
        </is>
      </c>
      <c r="I78" s="256" t="n"/>
      <c r="J78" s="257" t="n"/>
      <c r="K78" s="261" t="n"/>
      <c r="L78" s="262" t="n"/>
      <c r="M78" s="257" t="n"/>
      <c r="N78" s="268" t="n"/>
      <c r="O78" s="269" t="n"/>
      <c r="P78" s="264" t="n"/>
      <c r="Q78" s="259" t="n"/>
      <c r="R78" s="265" t="n"/>
      <c r="S78" s="270" t="n"/>
      <c r="T78" s="9" t="n"/>
      <c r="U78" s="9" t="n"/>
      <c r="V78" s="9" t="n"/>
      <c r="W78" s="9" t="n"/>
      <c r="X78" s="9" t="n"/>
      <c r="Y78" s="9" t="n"/>
      <c r="Z78" s="9" t="n"/>
    </row>
    <row r="79" ht="15" customHeight="1" thickBot="1">
      <c r="A79" s="900">
        <f>A38</f>
        <v/>
      </c>
      <c r="B79" s="927">
        <f>B38</f>
        <v/>
      </c>
      <c r="C79" s="271" t="inlineStr">
        <is>
          <t>下水臭</t>
        </is>
      </c>
      <c r="D79" s="271" t="inlineStr">
        <is>
          <t>活性汚泥臭</t>
        </is>
      </c>
      <c r="E79" s="271" t="inlineStr">
        <is>
          <t>活性汚泥臭</t>
        </is>
      </c>
      <c r="F79" s="271" t="inlineStr">
        <is>
          <t>無</t>
        </is>
      </c>
      <c r="G79" s="271" t="inlineStr">
        <is>
          <t>無</t>
        </is>
      </c>
      <c r="H79" s="272" t="inlineStr">
        <is>
          <t>無</t>
        </is>
      </c>
      <c r="I79" s="273" t="n"/>
      <c r="J79" s="274" t="n"/>
      <c r="K79" s="275" t="n"/>
      <c r="L79" s="276" t="n"/>
      <c r="M79" s="274" t="n"/>
      <c r="N79" s="277" t="n"/>
      <c r="O79" s="278" t="n"/>
      <c r="P79" s="279" t="n"/>
      <c r="Q79" s="280" t="n"/>
      <c r="R79" s="281" t="n"/>
      <c r="S79" s="282" t="n"/>
      <c r="T79" s="9" t="n"/>
      <c r="U79" s="9" t="n"/>
      <c r="V79" s="9" t="n"/>
      <c r="W79" s="9" t="n"/>
      <c r="X79" s="9" t="n"/>
      <c r="Y79" s="9" t="n"/>
      <c r="Z79" s="9" t="n"/>
    </row>
    <row r="80" ht="15" customHeight="1" thickTop="1">
      <c r="A80" s="703" t="inlineStr">
        <is>
          <t>最大</t>
        </is>
      </c>
      <c r="B80" s="686" t="n"/>
      <c r="C80" s="703" t="inlineStr">
        <is>
          <t>―</t>
        </is>
      </c>
      <c r="D80" s="703" t="inlineStr">
        <is>
          <t>―</t>
        </is>
      </c>
      <c r="E80" s="703" t="inlineStr">
        <is>
          <t>―</t>
        </is>
      </c>
      <c r="F80" s="703" t="inlineStr">
        <is>
          <t>―</t>
        </is>
      </c>
      <c r="G80" s="703" t="inlineStr">
        <is>
          <t>―</t>
        </is>
      </c>
      <c r="H80" s="703" t="inlineStr">
        <is>
          <t>―</t>
        </is>
      </c>
      <c r="I80" s="283">
        <f>IFERROR(MAX(I49:I79),"")</f>
        <v/>
      </c>
      <c r="J80" s="284">
        <f>IFERROR(MAX(J49:J79),"")</f>
        <v/>
      </c>
      <c r="K80" s="285">
        <f>IFERROR(MAX(K49:K79),"")</f>
        <v/>
      </c>
      <c r="L80" s="285">
        <f>IFERROR(MAX(L49:L79),"")</f>
        <v/>
      </c>
      <c r="M80" s="285">
        <f>IFERROR(MAX(M49:M79),"")</f>
        <v/>
      </c>
      <c r="N80" s="285">
        <f>IFERROR(MAX(N49:N79),"")</f>
        <v/>
      </c>
      <c r="O80" s="285">
        <f>IFERROR(MAX(O49:O79),"")</f>
        <v/>
      </c>
      <c r="P80" s="286">
        <f>IFERROR(MAX(P49:P79),"")</f>
        <v/>
      </c>
      <c r="Q80" s="928">
        <f>IFERROR(MAX(Q49:Q79),"")</f>
        <v/>
      </c>
      <c r="R80" s="288">
        <f>IFERROR(MAX(R49:R79),"")</f>
        <v/>
      </c>
      <c r="S80" s="288">
        <f>IFERROR(MAX(S49:S79),"")</f>
        <v/>
      </c>
      <c r="T80" s="9" t="n"/>
      <c r="U80" s="9" t="n"/>
      <c r="V80" s="9" t="n"/>
      <c r="W80" s="9" t="n"/>
      <c r="X80" s="9" t="n"/>
      <c r="Y80" s="9" t="n"/>
      <c r="Z80" s="9" t="n"/>
    </row>
    <row r="81" ht="18" customHeight="1">
      <c r="A81" s="588" t="inlineStr">
        <is>
          <t>平均</t>
        </is>
      </c>
      <c r="B81" s="580" t="n"/>
      <c r="C81" s="588" t="inlineStr">
        <is>
          <t>―</t>
        </is>
      </c>
      <c r="D81" s="588" t="inlineStr">
        <is>
          <t>―</t>
        </is>
      </c>
      <c r="E81" s="588" t="inlineStr">
        <is>
          <t>―</t>
        </is>
      </c>
      <c r="F81" s="588" t="inlineStr">
        <is>
          <t>―</t>
        </is>
      </c>
      <c r="G81" s="588" t="inlineStr">
        <is>
          <t>―</t>
        </is>
      </c>
      <c r="H81" s="289" t="inlineStr">
        <is>
          <t>―</t>
        </is>
      </c>
      <c r="I81" s="290">
        <f>IFERROR(AVERAGE(I49:I79),"")</f>
        <v/>
      </c>
      <c r="J81" s="291">
        <f>IFERROR(AVERAGE(J49:J79),"")</f>
        <v/>
      </c>
      <c r="K81" s="292">
        <f>IFERROR(AVERAGE(K49:K79),"")</f>
        <v/>
      </c>
      <c r="L81" s="292">
        <f>IFERROR(AVERAGE(L49:L79),"")</f>
        <v/>
      </c>
      <c r="M81" s="292">
        <f>IFERROR(AVERAGE(M49:M79),"")</f>
        <v/>
      </c>
      <c r="N81" s="292">
        <f>IFERROR(AVERAGE(N49:N79),"")</f>
        <v/>
      </c>
      <c r="O81" s="292">
        <f>IFERROR(AVERAGE(O49:O79),"")</f>
        <v/>
      </c>
      <c r="P81" s="293">
        <f>IFERROR(AVERAGE(P49:P79),"")</f>
        <v/>
      </c>
      <c r="Q81" s="929">
        <f>IFERROR(AVERAGE(Q49:Q79),"")</f>
        <v/>
      </c>
      <c r="R81" s="295">
        <f>IFERROR(AVERAGE(R49:R79),"")</f>
        <v/>
      </c>
      <c r="S81" s="295">
        <f>IFERROR(AVERAGE(S49:S79),"")</f>
        <v/>
      </c>
      <c r="T81" s="9" t="n"/>
      <c r="U81" s="9" t="n"/>
      <c r="V81" s="9" t="n"/>
      <c r="W81" s="9" t="n"/>
      <c r="X81" s="9" t="n"/>
      <c r="Y81" s="9" t="n"/>
      <c r="Z81" s="9" t="n"/>
    </row>
    <row r="82" ht="18" customHeight="1">
      <c r="A82" s="588" t="inlineStr">
        <is>
          <t>最小</t>
        </is>
      </c>
      <c r="B82" s="580" t="n"/>
      <c r="C82" s="588" t="inlineStr">
        <is>
          <t>―</t>
        </is>
      </c>
      <c r="D82" s="588" t="inlineStr">
        <is>
          <t>―</t>
        </is>
      </c>
      <c r="E82" s="588" t="inlineStr">
        <is>
          <t>―</t>
        </is>
      </c>
      <c r="F82" s="588" t="inlineStr">
        <is>
          <t>―</t>
        </is>
      </c>
      <c r="G82" s="588" t="inlineStr">
        <is>
          <t>―</t>
        </is>
      </c>
      <c r="H82" s="588" t="inlineStr">
        <is>
          <t>―</t>
        </is>
      </c>
      <c r="I82" s="290">
        <f>IFERROR(MIN(I49:I79),"")</f>
        <v/>
      </c>
      <c r="J82" s="291">
        <f>IFERROR(MIN(J49:J79),"")</f>
        <v/>
      </c>
      <c r="K82" s="292">
        <f>IFERROR(MIN(K49:K79),"")</f>
        <v/>
      </c>
      <c r="L82" s="168">
        <f>IFERROR(MIN(L49:L79),"")</f>
        <v/>
      </c>
      <c r="M82" s="168">
        <f>IFERROR(MIN(M49:M79),"")</f>
        <v/>
      </c>
      <c r="N82" s="168">
        <f>IFERROR(MIN(N49:N79),"")</f>
        <v/>
      </c>
      <c r="O82" s="168">
        <f>IFERROR(MIN(O49:O79),"")</f>
        <v/>
      </c>
      <c r="P82" s="296">
        <f>IFERROR(MIN(P49:P79),"")</f>
        <v/>
      </c>
      <c r="Q82" s="929">
        <f>IFERROR(MIN(Q49:Q79),"")</f>
        <v/>
      </c>
      <c r="R82" s="295">
        <f>IFERROR(MIN(R49:R79),"")</f>
        <v/>
      </c>
      <c r="S82" s="297">
        <f>IFERROR(MIN(S49:S79),"")</f>
        <v/>
      </c>
      <c r="T82" s="9" t="n"/>
      <c r="U82" s="9" t="n"/>
      <c r="V82" s="9" t="n"/>
      <c r="W82" s="9" t="n"/>
      <c r="X82" s="9" t="n"/>
      <c r="Y82" s="9" t="n"/>
      <c r="Z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>
      <c r="A85" s="9" t="n"/>
      <c r="B85" s="9" t="n"/>
      <c r="C85" s="40" t="n"/>
      <c r="D85" s="40" t="n"/>
      <c r="E85" s="40" t="n"/>
      <c r="F85" s="9" t="n"/>
      <c r="G85" s="9" t="n"/>
      <c r="H85" s="40" t="n"/>
      <c r="I85" s="84" t="n"/>
      <c r="J85" s="84" t="n"/>
      <c r="K85" s="84" t="n"/>
      <c r="L85" s="84" t="n"/>
      <c r="M85" s="84" t="n"/>
      <c r="N85" s="9" t="n"/>
      <c r="O85" s="84" t="n"/>
      <c r="P85" s="84" t="n"/>
      <c r="Q85" s="40" t="n"/>
      <c r="R85" s="40" t="n"/>
      <c r="S85" s="40" t="n"/>
      <c r="T85" s="9" t="n"/>
      <c r="U85" s="9" t="n"/>
      <c r="V85" s="9" t="n"/>
      <c r="W85" s="9" t="n"/>
      <c r="X85" s="9" t="n"/>
      <c r="Y85" s="9" t="n"/>
      <c r="Z85" s="9" t="n"/>
    </row>
    <row r="86">
      <c r="A86" s="9" t="n"/>
      <c r="B86" s="9" t="n"/>
      <c r="C86" s="40" t="n"/>
      <c r="D86" s="40" t="n"/>
      <c r="E86" s="40" t="n"/>
      <c r="F86" s="9" t="n"/>
      <c r="G86" s="9" t="n"/>
      <c r="H86" s="40" t="n"/>
      <c r="I86" s="84" t="n"/>
      <c r="J86" s="84" t="n"/>
      <c r="K86" s="84" t="n"/>
      <c r="L86" s="84" t="n"/>
      <c r="M86" s="84" t="n"/>
      <c r="N86" s="9" t="n"/>
      <c r="O86" s="84" t="n"/>
      <c r="P86" s="84" t="n"/>
      <c r="Q86" s="40" t="n"/>
      <c r="R86" s="40" t="n"/>
      <c r="S86" s="40" t="n"/>
      <c r="T86" s="9" t="n"/>
      <c r="U86" s="9" t="n"/>
      <c r="V86" s="9" t="n"/>
      <c r="W86" s="9" t="n"/>
      <c r="X86" s="9" t="n"/>
      <c r="Y86" s="9" t="n"/>
      <c r="Z86" s="9" t="n"/>
    </row>
    <row r="87">
      <c r="A87" s="9" t="n"/>
      <c r="B87" s="9" t="n"/>
      <c r="C87" s="40" t="n"/>
      <c r="D87" s="40" t="n"/>
      <c r="E87" s="40" t="n"/>
      <c r="F87" s="9" t="n"/>
      <c r="G87" s="9" t="n"/>
      <c r="H87" s="40" t="n"/>
      <c r="I87" s="84" t="n"/>
      <c r="J87" s="84" t="n"/>
      <c r="K87" s="84" t="n"/>
      <c r="L87" s="84" t="n"/>
      <c r="M87" s="84" t="n"/>
      <c r="N87" s="9" t="n"/>
      <c r="O87" s="84" t="n"/>
      <c r="P87" s="84" t="n"/>
      <c r="Q87" s="40" t="n"/>
      <c r="R87" s="40" t="n"/>
      <c r="S87" s="40" t="n"/>
      <c r="T87" s="9" t="n"/>
      <c r="U87" s="9" t="n"/>
      <c r="V87" s="9" t="n"/>
      <c r="W87" s="9" t="n"/>
      <c r="X87" s="9" t="n"/>
      <c r="Y87" s="9" t="n"/>
      <c r="Z87" s="9" t="n"/>
    </row>
    <row r="88">
      <c r="A88" s="9" t="n"/>
      <c r="B88" s="9" t="n"/>
      <c r="C88" s="40" t="n"/>
      <c r="D88" s="40" t="n"/>
      <c r="E88" s="40" t="n"/>
      <c r="F88" s="9" t="n"/>
      <c r="G88" s="9" t="n"/>
      <c r="H88" s="40" t="n"/>
      <c r="I88" s="84" t="n"/>
      <c r="J88" s="84" t="n"/>
      <c r="K88" s="84" t="n"/>
      <c r="L88" s="84" t="n"/>
      <c r="M88" s="84" t="n"/>
      <c r="N88" s="9" t="n"/>
      <c r="O88" s="9" t="n"/>
      <c r="P88" s="84" t="n"/>
      <c r="Q88" s="40" t="n"/>
      <c r="R88" s="40" t="n"/>
      <c r="S88" s="40" t="n"/>
      <c r="T88" s="9" t="n"/>
      <c r="U88" s="9" t="n"/>
      <c r="V88" s="9" t="n"/>
      <c r="W88" s="9" t="n"/>
      <c r="X88" s="9" t="n"/>
      <c r="Y88" s="9" t="n"/>
      <c r="Z88" s="9" t="n"/>
    </row>
    <row r="89">
      <c r="A89" s="9" t="n"/>
      <c r="B89" s="9" t="n"/>
      <c r="C89" s="40" t="n"/>
      <c r="D89" s="40" t="n"/>
      <c r="E89" s="40" t="n"/>
      <c r="F89" s="9" t="n"/>
      <c r="G89" s="9" t="n"/>
      <c r="H89" s="40" t="n"/>
      <c r="I89" s="84" t="n"/>
      <c r="J89" s="84" t="n"/>
      <c r="K89" s="84" t="n"/>
      <c r="L89" s="84" t="n"/>
      <c r="M89" s="84" t="n"/>
      <c r="N89" s="9" t="n"/>
      <c r="O89" s="9" t="n"/>
      <c r="P89" s="84" t="n"/>
      <c r="Q89" s="40" t="n"/>
      <c r="R89" s="40" t="n"/>
      <c r="S89" s="40" t="n"/>
      <c r="T89" s="9" t="n"/>
      <c r="U89" s="9" t="n"/>
      <c r="V89" s="9" t="n"/>
      <c r="W89" s="9" t="n"/>
      <c r="X89" s="9" t="n"/>
      <c r="Y89" s="9" t="n"/>
      <c r="Z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84" t="n"/>
      <c r="M90" s="84" t="n"/>
      <c r="N90" s="84" t="n"/>
      <c r="O90" s="84" t="n"/>
      <c r="P90" s="84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84" t="n"/>
      <c r="M91" s="84" t="n"/>
      <c r="N91" s="84" t="n"/>
      <c r="O91" s="84" t="n"/>
      <c r="P91" s="84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>
      <c r="A92" s="9" t="n"/>
      <c r="B92" s="9" t="n"/>
      <c r="C92" s="40" t="n"/>
      <c r="D92" s="40" t="n"/>
      <c r="E92" s="40" t="n"/>
      <c r="F92" s="9" t="n"/>
      <c r="G92" s="9" t="n"/>
      <c r="H92" s="40" t="n"/>
      <c r="I92" s="84" t="n"/>
      <c r="J92" s="84" t="n"/>
      <c r="K92" s="84" t="n"/>
      <c r="L92" s="84" t="n"/>
      <c r="M92" s="84" t="n"/>
      <c r="N92" s="9" t="n"/>
      <c r="O92" s="84" t="n"/>
      <c r="P92" s="84" t="n"/>
      <c r="Q92" s="40" t="n"/>
      <c r="R92" s="298" t="n"/>
      <c r="S92" s="298" t="n"/>
      <c r="T92" s="9" t="n"/>
      <c r="U92" s="9" t="n"/>
      <c r="V92" s="9" t="n"/>
      <c r="W92" s="9" t="n"/>
      <c r="X92" s="9" t="n"/>
      <c r="Y92" s="9" t="n"/>
      <c r="Z92" s="9" t="n"/>
    </row>
    <row r="93">
      <c r="A93" s="9" t="n"/>
      <c r="B93" s="9" t="n"/>
      <c r="C93" s="40" t="n"/>
      <c r="D93" s="40" t="n"/>
      <c r="E93" s="40" t="n"/>
      <c r="F93" s="9" t="n"/>
      <c r="G93" s="9" t="n"/>
      <c r="H93" s="40" t="n"/>
      <c r="I93" s="84" t="n"/>
      <c r="J93" s="84" t="n"/>
      <c r="K93" s="84" t="n"/>
      <c r="L93" s="84" t="n"/>
      <c r="M93" s="84" t="n"/>
      <c r="N93" s="9" t="n"/>
      <c r="O93" s="84" t="n"/>
      <c r="P93" s="84" t="n"/>
      <c r="Q93" s="40" t="n"/>
      <c r="R93" s="298" t="n"/>
      <c r="S93" s="298" t="n"/>
      <c r="T93" s="9" t="n"/>
      <c r="U93" s="9" t="n"/>
      <c r="V93" s="9" t="n"/>
      <c r="W93" s="9" t="n"/>
      <c r="X93" s="9" t="n"/>
      <c r="Y93" s="9" t="n"/>
      <c r="Z93" s="9" t="n"/>
    </row>
    <row r="94">
      <c r="A94" s="9" t="n"/>
      <c r="B94" s="9" t="n"/>
      <c r="C94" s="40" t="n"/>
      <c r="D94" s="40" t="n"/>
      <c r="E94" s="40" t="n"/>
      <c r="F94" s="9" t="n"/>
      <c r="G94" s="9" t="n"/>
      <c r="H94" s="40" t="n"/>
      <c r="I94" s="84" t="n"/>
      <c r="J94" s="84" t="n"/>
      <c r="K94" s="84" t="n"/>
      <c r="L94" s="84" t="n"/>
      <c r="M94" s="84" t="n"/>
      <c r="N94" s="9" t="n"/>
      <c r="O94" s="9" t="n"/>
      <c r="P94" s="84" t="n"/>
      <c r="Q94" s="40" t="n"/>
      <c r="R94" s="298" t="n"/>
      <c r="S94" s="298" t="n"/>
      <c r="T94" s="9" t="n"/>
      <c r="U94" s="9" t="n"/>
      <c r="V94" s="9" t="n"/>
      <c r="W94" s="9" t="n"/>
      <c r="X94" s="9" t="n"/>
      <c r="Y94" s="9" t="n"/>
      <c r="Z94" s="9" t="n"/>
    </row>
    <row r="95">
      <c r="A95" s="9" t="n"/>
      <c r="B95" s="9" t="n"/>
      <c r="C95" s="40" t="n"/>
      <c r="D95" s="40" t="n"/>
      <c r="E95" s="40" t="n"/>
      <c r="F95" s="9" t="n"/>
      <c r="G95" s="9" t="n"/>
      <c r="H95" s="40" t="n"/>
      <c r="I95" s="84" t="n"/>
      <c r="J95" s="84" t="n"/>
      <c r="K95" s="84" t="n"/>
      <c r="L95" s="84" t="n"/>
      <c r="M95" s="84" t="n"/>
      <c r="N95" s="9" t="n"/>
      <c r="O95" s="9" t="n"/>
      <c r="P95" s="84" t="n"/>
      <c r="Q95" s="40" t="n"/>
      <c r="R95" s="298" t="n"/>
      <c r="S95" s="298" t="n"/>
      <c r="T95" s="9" t="n"/>
      <c r="U95" s="9" t="n"/>
      <c r="V95" s="9" t="n"/>
      <c r="W95" s="9" t="n"/>
      <c r="X95" s="9" t="n"/>
      <c r="Y95" s="9" t="n"/>
      <c r="Z95" s="9" t="n"/>
    </row>
    <row r="96">
      <c r="A96" s="9" t="n"/>
      <c r="B96" s="9" t="n"/>
      <c r="C96" s="40" t="n"/>
      <c r="D96" s="40" t="n"/>
      <c r="E96" s="40" t="n"/>
      <c r="F96" s="9" t="n"/>
      <c r="G96" s="9" t="n"/>
      <c r="H96" s="40" t="n"/>
      <c r="I96" s="84" t="n"/>
      <c r="J96" s="84" t="n"/>
      <c r="K96" s="84" t="n"/>
      <c r="L96" s="84" t="n"/>
      <c r="M96" s="84" t="n"/>
      <c r="N96" s="9" t="n"/>
      <c r="O96" s="9" t="n"/>
      <c r="P96" s="84" t="n"/>
      <c r="Q96" s="40" t="n"/>
      <c r="R96" s="298" t="n"/>
      <c r="S96" s="298" t="n"/>
      <c r="T96" s="9" t="n"/>
      <c r="U96" s="9" t="n"/>
      <c r="V96" s="9" t="n"/>
      <c r="W96" s="9" t="n"/>
      <c r="X96" s="9" t="n"/>
      <c r="Y96" s="9" t="n"/>
      <c r="Z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84" t="n"/>
      <c r="L97" s="84" t="n"/>
      <c r="M97" s="84" t="n"/>
      <c r="N97" s="84" t="n"/>
      <c r="O97" s="84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298" t="n"/>
      <c r="L98" s="298" t="n"/>
      <c r="M98" s="298" t="n"/>
      <c r="N98" s="298" t="n"/>
      <c r="O98" s="298" t="n"/>
      <c r="P98" s="84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>
      <c r="A99" s="9" t="n"/>
      <c r="B99" s="9" t="n"/>
      <c r="C99" s="40" t="n"/>
      <c r="D99" s="40" t="n"/>
      <c r="E99" s="40" t="n"/>
      <c r="F99" s="9" t="n"/>
      <c r="G99" s="9" t="n"/>
      <c r="H99" s="40" t="n"/>
      <c r="I99" s="84" t="n"/>
      <c r="J99" s="84" t="n"/>
      <c r="K99" s="84" t="n"/>
      <c r="L99" s="84" t="n"/>
      <c r="M99" s="84" t="n"/>
      <c r="N99" s="9" t="n"/>
      <c r="O99" s="298" t="n"/>
      <c r="P99" s="84" t="n"/>
      <c r="Q99" s="40" t="n"/>
      <c r="R99" s="40" t="n"/>
      <c r="S99" s="40" t="n"/>
      <c r="T99" s="9" t="n"/>
      <c r="U99" s="9" t="n"/>
      <c r="V99" s="9" t="n"/>
      <c r="W99" s="9" t="n"/>
      <c r="X99" s="9" t="n"/>
      <c r="Y99" s="9" t="n"/>
      <c r="Z99" s="9" t="n"/>
    </row>
    <row r="100">
      <c r="A100" s="9" t="n"/>
      <c r="B100" s="9" t="n"/>
      <c r="C100" s="40" t="n"/>
      <c r="D100" s="40" t="n"/>
      <c r="E100" s="40" t="n"/>
      <c r="F100" s="9" t="n"/>
      <c r="G100" s="9" t="n"/>
      <c r="H100" s="40" t="n"/>
      <c r="I100" s="84" t="n"/>
      <c r="J100" s="84" t="n"/>
      <c r="K100" s="84" t="n"/>
      <c r="L100" s="84" t="n"/>
      <c r="M100" s="84" t="n"/>
      <c r="N100" s="9" t="n"/>
      <c r="O100" s="84" t="n"/>
      <c r="P100" s="84" t="n"/>
      <c r="Q100" s="40" t="n"/>
      <c r="R100" s="40" t="n"/>
      <c r="S100" s="40" t="n"/>
      <c r="T100" s="9" t="n"/>
      <c r="U100" s="9" t="n"/>
      <c r="V100" s="9" t="n"/>
      <c r="W100" s="9" t="n"/>
      <c r="X100" s="9" t="n"/>
      <c r="Y100" s="9" t="n"/>
      <c r="Z100" s="9" t="n"/>
    </row>
    <row r="101">
      <c r="A101" s="9" t="n"/>
      <c r="B101" s="9" t="n"/>
      <c r="C101" s="40" t="n"/>
      <c r="D101" s="40" t="n"/>
      <c r="E101" s="40" t="n"/>
      <c r="F101" s="9" t="n"/>
      <c r="G101" s="9" t="n"/>
      <c r="H101" s="40" t="n"/>
      <c r="I101" s="84" t="n"/>
      <c r="J101" s="84" t="n"/>
      <c r="K101" s="84" t="n"/>
      <c r="L101" s="84" t="n"/>
      <c r="M101" s="84" t="n"/>
      <c r="N101" s="9" t="n"/>
      <c r="O101" s="9" t="n"/>
      <c r="P101" s="84" t="n"/>
      <c r="Q101" s="40" t="n"/>
      <c r="R101" s="40" t="n"/>
      <c r="S101" s="40" t="n"/>
      <c r="T101" s="9" t="n"/>
      <c r="U101" s="9" t="n"/>
      <c r="V101" s="9" t="n"/>
      <c r="W101" s="9" t="n"/>
      <c r="X101" s="9" t="n"/>
      <c r="Y101" s="9" t="n"/>
      <c r="Z101" s="9" t="n"/>
    </row>
    <row r="102">
      <c r="A102" s="9" t="n"/>
      <c r="B102" s="9" t="n"/>
      <c r="C102" s="40" t="n"/>
      <c r="D102" s="40" t="n"/>
      <c r="E102" s="40" t="n"/>
      <c r="F102" s="9" t="n"/>
      <c r="G102" s="9" t="n"/>
      <c r="H102" s="40" t="n"/>
      <c r="I102" s="84" t="n"/>
      <c r="J102" s="84" t="n"/>
      <c r="K102" s="84" t="n"/>
      <c r="L102" s="84" t="n"/>
      <c r="M102" s="84" t="n"/>
      <c r="N102" s="9" t="n"/>
      <c r="O102" s="9" t="n"/>
      <c r="P102" s="84" t="n"/>
      <c r="Q102" s="40" t="n"/>
      <c r="R102" s="40" t="n"/>
      <c r="S102" s="40" t="n"/>
      <c r="T102" s="9" t="n"/>
      <c r="U102" s="9" t="n"/>
      <c r="V102" s="9" t="n"/>
      <c r="W102" s="9" t="n"/>
      <c r="X102" s="9" t="n"/>
      <c r="Y102" s="9" t="n"/>
      <c r="Z102" s="9" t="n"/>
    </row>
    <row r="103">
      <c r="A103" s="9" t="n"/>
      <c r="B103" s="9" t="n"/>
      <c r="C103" s="40" t="n"/>
      <c r="D103" s="40" t="n"/>
      <c r="E103" s="40" t="n"/>
      <c r="F103" s="9" t="n"/>
      <c r="G103" s="9" t="n"/>
      <c r="H103" s="40" t="n"/>
      <c r="I103" s="84" t="n"/>
      <c r="J103" s="84" t="n"/>
      <c r="K103" s="84" t="n"/>
      <c r="L103" s="84" t="n"/>
      <c r="M103" s="84" t="n"/>
      <c r="N103" s="9" t="n"/>
      <c r="O103" s="9" t="n"/>
      <c r="P103" s="84" t="n"/>
      <c r="Q103" s="40" t="n"/>
      <c r="R103" s="40" t="n"/>
      <c r="S103" s="40" t="n"/>
      <c r="T103" s="9" t="n"/>
      <c r="U103" s="9" t="n"/>
      <c r="V103" s="9" t="n"/>
      <c r="W103" s="9" t="n"/>
      <c r="X103" s="9" t="n"/>
      <c r="Y103" s="9" t="n"/>
      <c r="Z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84" t="n"/>
      <c r="L105" s="84" t="n"/>
      <c r="M105" s="84" t="n"/>
      <c r="N105" s="84" t="n"/>
      <c r="O105" s="84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>
      <c r="A106" s="9" t="n"/>
      <c r="B106" s="9" t="n"/>
      <c r="C106" s="40" t="n"/>
      <c r="D106" s="40" t="n"/>
      <c r="E106" s="40" t="n"/>
      <c r="F106" s="9" t="n"/>
      <c r="G106" s="9" t="n"/>
      <c r="H106" s="40" t="n"/>
      <c r="I106" s="84" t="n"/>
      <c r="J106" s="84" t="n"/>
      <c r="K106" s="84" t="n"/>
      <c r="L106" s="84" t="n"/>
      <c r="M106" s="84" t="n"/>
      <c r="N106" s="9" t="n"/>
      <c r="O106" s="84" t="n"/>
      <c r="P106" s="84" t="n"/>
      <c r="Q106" s="40" t="n"/>
      <c r="R106" s="40" t="n"/>
      <c r="S106" s="40" t="n"/>
      <c r="T106" s="9" t="n"/>
      <c r="U106" s="9" t="n"/>
      <c r="V106" s="9" t="n"/>
      <c r="W106" s="9" t="n"/>
      <c r="X106" s="9" t="n"/>
      <c r="Y106" s="9" t="n"/>
      <c r="Z106" s="9" t="n"/>
    </row>
    <row r="107">
      <c r="A107" s="9" t="n"/>
      <c r="B107" s="9" t="n"/>
      <c r="C107" s="40" t="n"/>
      <c r="D107" s="40" t="n"/>
      <c r="E107" s="40" t="n"/>
      <c r="F107" s="9" t="n"/>
      <c r="G107" s="9" t="n"/>
      <c r="H107" s="40" t="n"/>
      <c r="I107" s="84" t="n"/>
      <c r="J107" s="84" t="n"/>
      <c r="K107" s="84" t="n"/>
      <c r="L107" s="84" t="n"/>
      <c r="M107" s="84" t="n"/>
      <c r="N107" s="9" t="n"/>
      <c r="O107" s="84" t="n"/>
      <c r="P107" s="84" t="n"/>
      <c r="Q107" s="40" t="n"/>
      <c r="R107" s="40" t="n"/>
      <c r="S107" s="40" t="n"/>
      <c r="T107" s="9" t="n"/>
      <c r="U107" s="9" t="n"/>
      <c r="V107" s="9" t="n"/>
      <c r="W107" s="9" t="n"/>
      <c r="X107" s="9" t="n"/>
      <c r="Y107" s="9" t="n"/>
      <c r="Z107" s="9" t="n"/>
    </row>
    <row r="108">
      <c r="A108" s="9" t="n"/>
      <c r="B108" s="9" t="n"/>
      <c r="C108" s="40" t="n"/>
      <c r="D108" s="40" t="n"/>
      <c r="E108" s="40" t="n"/>
      <c r="F108" s="9" t="n"/>
      <c r="G108" s="9" t="n"/>
      <c r="H108" s="40" t="n"/>
      <c r="I108" s="84" t="n"/>
      <c r="J108" s="84" t="n"/>
      <c r="K108" s="84" t="n"/>
      <c r="L108" s="84" t="n"/>
      <c r="M108" s="84" t="n"/>
      <c r="N108" s="9" t="n"/>
      <c r="O108" s="84" t="n"/>
      <c r="P108" s="84" t="n"/>
      <c r="Q108" s="40" t="n"/>
      <c r="R108" s="40" t="n"/>
      <c r="S108" s="40" t="n"/>
      <c r="T108" s="9" t="n"/>
      <c r="U108" s="9" t="n"/>
      <c r="V108" s="9" t="n"/>
      <c r="W108" s="9" t="n"/>
      <c r="X108" s="9" t="n"/>
      <c r="Y108" s="9" t="n"/>
      <c r="Z108" s="9" t="n"/>
    </row>
    <row r="109">
      <c r="A109" s="9" t="n"/>
      <c r="B109" s="9" t="n"/>
      <c r="C109" s="40" t="n"/>
      <c r="D109" s="40" t="n"/>
      <c r="E109" s="40" t="n"/>
      <c r="F109" s="9" t="n"/>
      <c r="G109" s="9" t="n"/>
      <c r="H109" s="40" t="n"/>
      <c r="I109" s="84" t="n"/>
      <c r="J109" s="84" t="n"/>
      <c r="K109" s="84" t="n"/>
      <c r="L109" s="84" t="n"/>
      <c r="M109" s="84" t="n"/>
      <c r="N109" s="9" t="n"/>
      <c r="O109" s="9" t="n"/>
      <c r="P109" s="84" t="n"/>
      <c r="Q109" s="40" t="n"/>
      <c r="R109" s="40" t="n"/>
      <c r="S109" s="40" t="n"/>
      <c r="T109" s="9" t="n"/>
      <c r="U109" s="9" t="n"/>
      <c r="V109" s="9" t="n"/>
      <c r="W109" s="9" t="n"/>
      <c r="X109" s="9" t="n"/>
      <c r="Y109" s="9" t="n"/>
      <c r="Z109" s="9" t="n"/>
    </row>
    <row r="110">
      <c r="A110" s="9" t="n"/>
      <c r="B110" s="9" t="n"/>
      <c r="C110" s="40" t="n"/>
      <c r="D110" s="40" t="n"/>
      <c r="E110" s="40" t="n"/>
      <c r="F110" s="9" t="n"/>
      <c r="G110" s="9" t="n"/>
      <c r="H110" s="40" t="n"/>
      <c r="I110" s="84" t="n"/>
      <c r="J110" s="84" t="n"/>
      <c r="K110" s="84" t="n"/>
      <c r="L110" s="84" t="n"/>
      <c r="M110" s="84" t="n"/>
      <c r="N110" s="9" t="n"/>
      <c r="O110" s="9" t="n"/>
      <c r="P110" s="84" t="n"/>
      <c r="Q110" s="40" t="n"/>
      <c r="R110" s="40" t="n"/>
      <c r="S110" s="40" t="n"/>
      <c r="T110" s="9" t="n"/>
      <c r="U110" s="9" t="n"/>
      <c r="V110" s="9" t="n"/>
      <c r="W110" s="9" t="n"/>
      <c r="X110" s="9" t="n"/>
      <c r="Y110" s="9" t="n"/>
      <c r="Z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84" t="n"/>
      <c r="L112" s="84" t="n"/>
      <c r="M112" s="84" t="n"/>
      <c r="N112" s="84" t="n"/>
      <c r="O112" s="84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>
      <c r="A113" s="9" t="n"/>
      <c r="B113" s="9" t="n"/>
      <c r="C113" s="40" t="n"/>
      <c r="D113" s="40" t="n"/>
      <c r="E113" s="40" t="n"/>
      <c r="F113" s="9" t="n"/>
      <c r="G113" s="9" t="n"/>
      <c r="H113" s="40" t="n"/>
      <c r="I113" s="84" t="n"/>
      <c r="J113" s="84" t="n"/>
      <c r="K113" s="84" t="n"/>
      <c r="L113" s="84" t="n"/>
      <c r="M113" s="84" t="n"/>
      <c r="N113" s="9" t="n"/>
      <c r="O113" s="84" t="n"/>
      <c r="P113" s="84" t="n"/>
      <c r="Q113" s="40" t="n"/>
      <c r="R113" s="40" t="n"/>
      <c r="S113" s="40" t="n"/>
      <c r="T113" s="9" t="n"/>
      <c r="U113" s="9" t="n"/>
      <c r="V113" s="9" t="n"/>
      <c r="W113" s="9" t="n"/>
      <c r="X113" s="9" t="n"/>
      <c r="Y113" s="9" t="n"/>
      <c r="Z113" s="9" t="n"/>
    </row>
    <row r="114">
      <c r="A114" s="9" t="n"/>
      <c r="B114" s="9" t="n"/>
      <c r="C114" s="40" t="n"/>
      <c r="D114" s="40" t="n"/>
      <c r="E114" s="40" t="n"/>
      <c r="F114" s="9" t="n"/>
      <c r="G114" s="9" t="n"/>
      <c r="H114" s="40" t="n"/>
      <c r="I114" s="84" t="n"/>
      <c r="J114" s="84" t="n"/>
      <c r="K114" s="84" t="n"/>
      <c r="L114" s="84" t="n"/>
      <c r="M114" s="84" t="n"/>
      <c r="N114" s="9" t="n"/>
      <c r="O114" s="84" t="n"/>
      <c r="P114" s="84" t="n"/>
      <c r="Q114" s="40" t="n"/>
      <c r="R114" s="40" t="n"/>
      <c r="S114" s="40" t="n"/>
      <c r="T114" s="9" t="n"/>
      <c r="U114" s="9" t="n"/>
      <c r="V114" s="9" t="n"/>
      <c r="W114" s="9" t="n"/>
      <c r="X114" s="9" t="n"/>
      <c r="Y114" s="9" t="n"/>
      <c r="Z114" s="9" t="n"/>
    </row>
    <row r="115">
      <c r="A115" s="9" t="n"/>
      <c r="B115" s="9" t="n"/>
      <c r="C115" s="40" t="n"/>
      <c r="D115" s="40" t="n"/>
      <c r="E115" s="40" t="n"/>
      <c r="F115" s="9" t="n"/>
      <c r="G115" s="9" t="n"/>
      <c r="H115" s="40" t="n"/>
      <c r="I115" s="84" t="n"/>
      <c r="J115" s="84" t="n"/>
      <c r="K115" s="84" t="n"/>
      <c r="L115" s="84" t="n"/>
      <c r="M115" s="84" t="n"/>
      <c r="N115" s="9" t="n"/>
      <c r="O115" s="84" t="n"/>
      <c r="P115" s="84" t="n"/>
      <c r="Q115" s="40" t="n"/>
      <c r="R115" s="40" t="n"/>
      <c r="S115" s="40" t="n"/>
      <c r="T115" s="9" t="n"/>
      <c r="U115" s="9" t="n"/>
      <c r="V115" s="9" t="n"/>
      <c r="W115" s="9" t="n"/>
      <c r="X115" s="9" t="n"/>
      <c r="Y115" s="9" t="n"/>
      <c r="Z115" s="9" t="n"/>
    </row>
    <row r="116">
      <c r="A116" s="9" t="n"/>
      <c r="B116" s="9" t="n"/>
      <c r="C116" s="40" t="n"/>
      <c r="D116" s="40" t="n"/>
      <c r="E116" s="40" t="n"/>
      <c r="F116" s="9" t="n"/>
      <c r="G116" s="9" t="n"/>
      <c r="H116" s="40" t="n"/>
      <c r="I116" s="84" t="n"/>
      <c r="J116" s="84" t="n"/>
      <c r="K116" s="84" t="n"/>
      <c r="L116" s="84" t="n"/>
      <c r="M116" s="84" t="n"/>
      <c r="N116" s="9" t="n"/>
      <c r="O116" s="9" t="n"/>
      <c r="P116" s="84" t="n"/>
      <c r="Q116" s="40" t="n"/>
      <c r="R116" s="40" t="n"/>
      <c r="S116" s="40" t="n"/>
      <c r="T116" s="9" t="n"/>
      <c r="U116" s="9" t="n"/>
      <c r="V116" s="9" t="n"/>
      <c r="W116" s="9" t="n"/>
      <c r="X116" s="9" t="n"/>
      <c r="Y116" s="9" t="n"/>
      <c r="Z116" s="9" t="n"/>
    </row>
    <row r="117">
      <c r="A117" s="9" t="n"/>
      <c r="B117" s="9" t="n"/>
      <c r="C117" s="40" t="n"/>
      <c r="D117" s="40" t="n"/>
      <c r="E117" s="40" t="n"/>
      <c r="F117" s="9" t="n"/>
      <c r="G117" s="9" t="n"/>
      <c r="H117" s="40" t="n"/>
      <c r="I117" s="84" t="n"/>
      <c r="J117" s="84" t="n"/>
      <c r="K117" s="84" t="n"/>
      <c r="L117" s="84" t="n"/>
      <c r="M117" s="84" t="n"/>
      <c r="N117" s="9" t="n"/>
      <c r="O117" s="9" t="n"/>
      <c r="P117" s="84" t="n"/>
      <c r="Q117" s="40" t="n"/>
      <c r="R117" s="40" t="n"/>
      <c r="S117" s="40" t="n"/>
      <c r="T117" s="9" t="n"/>
      <c r="U117" s="9" t="n"/>
      <c r="V117" s="9" t="n"/>
      <c r="W117" s="9" t="n"/>
      <c r="X117" s="9" t="n"/>
      <c r="Y117" s="9" t="n"/>
      <c r="Z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84" t="n"/>
      <c r="L118" s="84" t="n"/>
      <c r="M118" s="84" t="n"/>
      <c r="N118" s="84" t="n"/>
      <c r="O118" s="84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84" t="n"/>
      <c r="M119" s="84" t="n"/>
      <c r="N119" s="84" t="n"/>
      <c r="O119" s="84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84" t="n"/>
      <c r="M120" s="84" t="n"/>
      <c r="N120" s="84" t="n"/>
      <c r="O120" s="84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84" t="n"/>
      <c r="L121" s="84" t="n"/>
      <c r="M121" s="84" t="n"/>
      <c r="N121" s="84" t="n"/>
      <c r="O121" s="84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</sheetData>
  <mergeCells count="46">
    <mergeCell ref="B44:B48"/>
    <mergeCell ref="A82:B82"/>
    <mergeCell ref="R44:S44"/>
    <mergeCell ref="C44:H44"/>
    <mergeCell ref="I46:J46"/>
    <mergeCell ref="K44:P44"/>
    <mergeCell ref="K46:P46"/>
    <mergeCell ref="H6:H7"/>
    <mergeCell ref="I45:J45"/>
    <mergeCell ref="P6:P7"/>
    <mergeCell ref="I3:N3"/>
    <mergeCell ref="R6:R7"/>
    <mergeCell ref="C46:H46"/>
    <mergeCell ref="A44:A48"/>
    <mergeCell ref="C47:C48"/>
    <mergeCell ref="I5:N5"/>
    <mergeCell ref="A41:B41"/>
    <mergeCell ref="K47:K48"/>
    <mergeCell ref="O3:R3"/>
    <mergeCell ref="A80:B80"/>
    <mergeCell ref="Q6:Q7"/>
    <mergeCell ref="R45:S45"/>
    <mergeCell ref="I4:N4"/>
    <mergeCell ref="P42:R42"/>
    <mergeCell ref="H47:H48"/>
    <mergeCell ref="P47:P48"/>
    <mergeCell ref="O5:R5"/>
    <mergeCell ref="B3:B7"/>
    <mergeCell ref="N6:N7"/>
    <mergeCell ref="C3:H3"/>
    <mergeCell ref="I44:J44"/>
    <mergeCell ref="P1:R1"/>
    <mergeCell ref="O4:R4"/>
    <mergeCell ref="A81:B81"/>
    <mergeCell ref="C5:H5"/>
    <mergeCell ref="K45:P45"/>
    <mergeCell ref="R46:S46"/>
    <mergeCell ref="C45:H45"/>
    <mergeCell ref="Q47:Q48"/>
    <mergeCell ref="I6:I7"/>
    <mergeCell ref="A3:A7"/>
    <mergeCell ref="C4:H4"/>
    <mergeCell ref="C6:C7"/>
    <mergeCell ref="A40:B40"/>
    <mergeCell ref="O6:O7"/>
    <mergeCell ref="A39:B39"/>
  </mergeCells>
  <dataValidations count="1">
    <dataValidation sqref="L8:N38 X3:Z3" showDropDown="0" showInputMessage="1" showErrorMessage="1" allowBlank="1" type="list">
      <formula1>$T$9:$U$9</formula1>
    </dataValidation>
  </dataValidations>
  <pageMargins left="0.5905511811023623" right="0.1968503937007874" top="0.7874015748031497" bottom="0.3937007874015748" header="0.5118110236220472" footer="0.5118110236220472"/>
  <pageSetup orientation="landscape" paperSize="9" scale="82"/>
  <rowBreaks count="1" manualBreakCount="1">
    <brk id="41" min="0" max="18" man="1"/>
  </rowBreaks>
  <colBreaks count="1" manualBreakCount="1">
    <brk id="19" min="0" max="81" man="1"/>
  </col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O915"/>
  <sheetViews>
    <sheetView view="pageBreakPreview" topLeftCell="A848" zoomScale="150" zoomScaleNormal="140" zoomScaleSheetLayoutView="150" workbookViewId="0">
      <selection activeCell="E843" sqref="E843:F843"/>
    </sheetView>
  </sheetViews>
  <sheetFormatPr baseColWidth="8" defaultColWidth="9" defaultRowHeight="13"/>
  <cols>
    <col width="15.83203125" customWidth="1" style="739" min="1" max="1"/>
    <col width="4.1640625" customWidth="1" style="738" min="2" max="2"/>
    <col width="14.1640625" customWidth="1" style="739" min="3" max="3"/>
    <col width="4.83203125" customWidth="1" style="738" min="4" max="4"/>
    <col width="10.6640625" customWidth="1" style="738" min="5" max="9"/>
    <col width="1.5" customWidth="1" style="739" min="10" max="10"/>
    <col width="6.1640625" customWidth="1" style="739" min="11" max="14"/>
    <col width="9" customWidth="1" style="739" min="15" max="15"/>
    <col width="9" customWidth="1" style="739" min="16" max="16384"/>
  </cols>
  <sheetData>
    <row r="1" ht="22" customHeight="1">
      <c r="A1" s="299" t="inlineStr">
        <is>
          <t xml:space="preserve">　機械設備日常点検表（１/３）</t>
        </is>
      </c>
      <c r="B1" s="594" t="n"/>
      <c r="C1" s="300" t="n"/>
      <c r="D1" s="594" t="n"/>
      <c r="E1" s="594" t="n"/>
      <c r="F1" s="594" t="n"/>
      <c r="G1" s="594" t="n"/>
      <c r="H1" s="744">
        <f>運転管理月報!J1</f>
        <v/>
      </c>
      <c r="I1" s="598" t="n"/>
      <c r="J1" s="9" t="n"/>
      <c r="K1" s="9" t="n"/>
      <c r="L1" s="9" t="n"/>
      <c r="M1" s="9" t="n"/>
      <c r="N1" s="9" t="n"/>
      <c r="O1" s="9" t="n"/>
    </row>
    <row r="2" ht="18" customHeight="1">
      <c r="A2" s="726" t="inlineStr">
        <is>
          <t>機　器　名</t>
        </is>
      </c>
      <c r="B2" s="726" t="inlineStr">
        <is>
          <t>No</t>
        </is>
      </c>
      <c r="C2" s="726" t="inlineStr">
        <is>
          <t>点 検 者</t>
        </is>
      </c>
      <c r="D2" s="580" t="n"/>
      <c r="E2" s="302" t="inlineStr">
        <is>
          <t>山根　悠貴</t>
        </is>
      </c>
      <c r="F2" s="726" t="inlineStr">
        <is>
          <t>山根　悠貴</t>
        </is>
      </c>
      <c r="G2" s="302" t="inlineStr">
        <is>
          <t>山根　悠貴</t>
        </is>
      </c>
      <c r="H2" s="302" t="inlineStr">
        <is>
          <t>山根　悠貴</t>
        </is>
      </c>
      <c r="I2" s="726" t="inlineStr">
        <is>
          <t>山根　悠貴</t>
        </is>
      </c>
      <c r="J2" s="9" t="n"/>
      <c r="K2" s="9" t="n"/>
      <c r="L2" s="9" t="n"/>
      <c r="M2" s="9" t="n"/>
      <c r="N2" s="9" t="n"/>
      <c r="O2" s="9" t="n"/>
    </row>
    <row r="3" ht="18" customHeight="1">
      <c r="A3" s="626" t="n"/>
      <c r="B3" s="626" t="n"/>
      <c r="C3" s="726" t="inlineStr">
        <is>
          <t>点検内容</t>
        </is>
      </c>
      <c r="D3" s="580" t="n"/>
      <c r="E3" s="930">
        <f>日常水質!I3</f>
        <v/>
      </c>
      <c r="F3" s="931">
        <f>日常水質!J3</f>
        <v/>
      </c>
      <c r="G3" s="931">
        <f>日常水質!K3</f>
        <v/>
      </c>
      <c r="H3" s="931">
        <f>日常水質!L3</f>
        <v/>
      </c>
      <c r="I3" s="931">
        <f>日常水質!M3</f>
        <v/>
      </c>
      <c r="J3" s="9" t="n"/>
      <c r="K3" s="9" t="n"/>
      <c r="L3" s="9" t="n"/>
      <c r="M3" s="9" t="n"/>
      <c r="N3" s="9" t="n"/>
      <c r="O3" s="9" t="n"/>
    </row>
    <row r="4">
      <c r="A4" s="729" t="inlineStr">
        <is>
          <t>ポンプ井</t>
        </is>
      </c>
      <c r="B4" s="726" t="inlineStr">
        <is>
          <t>―</t>
        </is>
      </c>
      <c r="C4" s="306" t="inlineStr">
        <is>
          <t>内部状況確認</t>
        </is>
      </c>
      <c r="D4" s="307" t="n"/>
      <c r="E4" s="308" t="n"/>
      <c r="F4" s="309" t="n"/>
      <c r="G4" s="308" t="n"/>
      <c r="H4" s="308" t="n"/>
      <c r="I4" s="309" t="n"/>
      <c r="J4" s="9" t="n"/>
      <c r="K4" s="9" t="n"/>
      <c r="L4" s="9" t="n"/>
      <c r="M4" s="9" t="n"/>
      <c r="N4" s="9" t="n"/>
      <c r="O4" s="9" t="n"/>
    </row>
    <row r="5">
      <c r="A5" s="756" t="inlineStr">
        <is>
          <t>汚水ポンプ</t>
        </is>
      </c>
      <c r="B5" s="726" t="n">
        <v>1</v>
      </c>
      <c r="C5" s="310" t="inlineStr">
        <is>
          <t>電流値</t>
        </is>
      </c>
      <c r="D5" s="734" t="inlineStr">
        <is>
          <t>Ａ</t>
        </is>
      </c>
      <c r="E5" s="932" t="n"/>
      <c r="F5" s="933" t="n"/>
      <c r="G5" s="932" t="n"/>
      <c r="H5" s="932" t="n"/>
      <c r="I5" s="933" t="n"/>
      <c r="J5" s="9" t="n"/>
      <c r="K5" s="9" t="n"/>
      <c r="L5" s="9" t="n"/>
      <c r="M5" s="9" t="n"/>
      <c r="N5" s="9" t="n"/>
      <c r="O5" s="9" t="n"/>
    </row>
    <row r="6">
      <c r="A6" s="679" t="n"/>
      <c r="B6" s="679" t="n"/>
      <c r="C6" s="314" t="inlineStr">
        <is>
          <t>吐出圧力</t>
        </is>
      </c>
      <c r="D6" s="315" t="inlineStr">
        <is>
          <t>Mpa</t>
        </is>
      </c>
      <c r="E6" s="316" t="n"/>
      <c r="F6" s="317" t="n"/>
      <c r="G6" s="316" t="n"/>
      <c r="H6" s="316" t="n"/>
      <c r="I6" s="317" t="n"/>
      <c r="J6" s="9" t="n"/>
      <c r="K6" s="9" t="n"/>
      <c r="L6" s="9" t="n"/>
      <c r="M6" s="9" t="n"/>
      <c r="N6" s="9" t="n"/>
      <c r="O6" s="9" t="n"/>
    </row>
    <row r="7">
      <c r="A7" s="679" t="n"/>
      <c r="B7" s="626" t="n"/>
      <c r="C7" s="318" t="inlineStr">
        <is>
          <t>異音、振動</t>
        </is>
      </c>
      <c r="D7" s="319" t="n"/>
      <c r="E7" s="320" t="n"/>
      <c r="F7" s="321" t="n"/>
      <c r="G7" s="320" t="n"/>
      <c r="H7" s="320" t="n"/>
      <c r="I7" s="321" t="n"/>
      <c r="J7" s="9" t="n"/>
      <c r="K7" s="9" t="n"/>
      <c r="L7" s="9" t="n"/>
      <c r="M7" s="9" t="n"/>
      <c r="N7" s="9" t="n"/>
      <c r="O7" s="9" t="n"/>
    </row>
    <row r="8">
      <c r="A8" s="679" t="n"/>
      <c r="B8" s="726" t="n">
        <v>2</v>
      </c>
      <c r="C8" s="310" t="inlineStr">
        <is>
          <t>電流値</t>
        </is>
      </c>
      <c r="D8" s="734" t="inlineStr">
        <is>
          <t>Ａ</t>
        </is>
      </c>
      <c r="E8" s="932" t="n"/>
      <c r="F8" s="933" t="n"/>
      <c r="G8" s="932" t="n"/>
      <c r="H8" s="932" t="n"/>
      <c r="I8" s="933" t="n"/>
      <c r="J8" s="9" t="n"/>
      <c r="K8" s="9" t="n"/>
      <c r="L8" s="9" t="n"/>
      <c r="M8" s="9" t="n"/>
      <c r="N8" s="9" t="n"/>
      <c r="O8" s="9" t="n"/>
    </row>
    <row r="9" ht="13.5" customHeight="1">
      <c r="A9" s="679" t="n"/>
      <c r="B9" s="679" t="n"/>
      <c r="C9" s="314" t="inlineStr">
        <is>
          <t>吐出圧力</t>
        </is>
      </c>
      <c r="D9" s="315" t="inlineStr">
        <is>
          <t>Mpa</t>
        </is>
      </c>
      <c r="E9" s="322" t="n"/>
      <c r="F9" s="323" t="n"/>
      <c r="G9" s="322" t="n"/>
      <c r="H9" s="322" t="n"/>
      <c r="I9" s="323" t="n"/>
      <c r="J9" s="9" t="n"/>
      <c r="K9" s="73" t="n"/>
      <c r="L9" s="9" t="n"/>
      <c r="M9" s="9" t="n"/>
      <c r="N9" s="9" t="n"/>
      <c r="O9" s="9" t="n"/>
    </row>
    <row r="10">
      <c r="A10" s="679" t="n"/>
      <c r="B10" s="626" t="n"/>
      <c r="C10" s="318">
        <f>C7</f>
        <v/>
      </c>
      <c r="D10" s="319" t="n"/>
      <c r="E10" s="324" t="n"/>
      <c r="F10" s="325" t="n"/>
      <c r="G10" s="324" t="n"/>
      <c r="H10" s="324" t="n"/>
      <c r="I10" s="325" t="n"/>
      <c r="J10" s="9" t="n"/>
      <c r="K10" s="9" t="n"/>
      <c r="L10" s="9" t="n"/>
      <c r="M10" s="9" t="n"/>
      <c r="N10" s="9" t="n"/>
      <c r="O10" s="9" t="n"/>
    </row>
    <row r="11" ht="18" customHeight="1">
      <c r="A11" s="679" t="n"/>
      <c r="B11" s="726" t="inlineStr">
        <is>
          <t>―</t>
        </is>
      </c>
      <c r="C11" s="745" t="inlineStr">
        <is>
          <t>モード確認</t>
        </is>
      </c>
      <c r="D11" s="746" t="n"/>
      <c r="E11" s="326" t="n"/>
      <c r="F11" s="327" t="n"/>
      <c r="G11" s="326" t="n"/>
      <c r="H11" s="326" t="n"/>
      <c r="I11" s="327" t="n"/>
      <c r="J11" s="9" t="n"/>
      <c r="K11" s="73" t="n"/>
      <c r="L11" s="73" t="n"/>
      <c r="M11" s="73" t="n"/>
      <c r="N11" s="76" t="n"/>
      <c r="O11" s="9" t="n"/>
    </row>
    <row r="12" ht="18" customHeight="1">
      <c r="A12" s="626" t="n"/>
      <c r="B12" s="626" t="n"/>
      <c r="C12" s="743" t="inlineStr">
        <is>
          <t>機種選択</t>
        </is>
      </c>
      <c r="D12" s="591" t="n"/>
      <c r="E12" s="328" t="n"/>
      <c r="F12" s="329" t="n"/>
      <c r="G12" s="328" t="n"/>
      <c r="H12" s="328" t="n"/>
      <c r="I12" s="329" t="n"/>
      <c r="J12" s="9" t="n"/>
      <c r="K12" s="72" t="n"/>
      <c r="L12" s="72" t="n"/>
      <c r="M12" s="72" t="n"/>
      <c r="N12" s="9" t="n"/>
      <c r="O12" s="9" t="n"/>
    </row>
    <row r="13">
      <c r="A13" s="729" t="inlineStr">
        <is>
          <t>自動除塵機</t>
        </is>
      </c>
      <c r="B13" s="726" t="n"/>
      <c r="C13" s="330" t="inlineStr">
        <is>
          <t>油圧圧力</t>
        </is>
      </c>
      <c r="D13" s="331" t="inlineStr">
        <is>
          <t>Mpa</t>
        </is>
      </c>
      <c r="E13" s="932" t="n"/>
      <c r="F13" s="933" t="n"/>
      <c r="G13" s="932" t="n"/>
      <c r="H13" s="932" t="n"/>
      <c r="I13" s="933" t="n"/>
      <c r="J13" s="9" t="n"/>
      <c r="K13" s="9" t="n"/>
      <c r="L13" s="9" t="n"/>
      <c r="M13" s="9" t="n"/>
      <c r="N13" s="9" t="n"/>
      <c r="O13" s="9" t="n"/>
    </row>
    <row r="14">
      <c r="A14" s="679" t="n"/>
      <c r="B14" s="679" t="n"/>
      <c r="C14" s="314" t="inlineStr">
        <is>
          <t>異音、振動</t>
        </is>
      </c>
      <c r="D14" s="315" t="n"/>
      <c r="E14" s="316" t="n"/>
      <c r="F14" s="317" t="n"/>
      <c r="G14" s="316" t="n"/>
      <c r="H14" s="316" t="n"/>
      <c r="I14" s="317" t="n"/>
      <c r="J14" s="9" t="n"/>
      <c r="K14" s="76" t="n"/>
      <c r="L14" s="76" t="n"/>
      <c r="M14" s="76" t="n"/>
      <c r="N14" s="72" t="n"/>
      <c r="O14" s="9" t="n"/>
    </row>
    <row r="15">
      <c r="A15" s="679" t="n"/>
      <c r="B15" s="679" t="n"/>
      <c r="C15" s="314" t="inlineStr">
        <is>
          <t>し渣量の確認</t>
        </is>
      </c>
      <c r="D15" s="315" t="n"/>
      <c r="E15" s="316" t="n"/>
      <c r="F15" s="317" t="n"/>
      <c r="G15" s="316" t="n"/>
      <c r="H15" s="316" t="n"/>
      <c r="I15" s="317" t="n"/>
      <c r="J15" s="9" t="n"/>
      <c r="K15" s="76" t="n"/>
      <c r="L15" s="76" t="n"/>
      <c r="M15" s="72" t="n"/>
      <c r="N15" s="9" t="n"/>
      <c r="O15" s="9" t="n"/>
    </row>
    <row r="16">
      <c r="A16" s="626" t="n"/>
      <c r="B16" s="626" t="n"/>
      <c r="C16" s="318" t="inlineStr">
        <is>
          <t>運転動作</t>
        </is>
      </c>
      <c r="D16" s="319" t="n"/>
      <c r="E16" s="320" t="n"/>
      <c r="F16" s="321" t="n"/>
      <c r="G16" s="320" t="n"/>
      <c r="H16" s="320" t="n"/>
      <c r="I16" s="321" t="n"/>
      <c r="J16" s="9" t="n"/>
      <c r="K16" s="9" t="n"/>
      <c r="L16" s="9" t="n"/>
      <c r="M16" s="9" t="n"/>
      <c r="N16" s="9" t="n"/>
      <c r="O16" s="9" t="n"/>
    </row>
    <row r="17">
      <c r="A17" s="741" t="inlineStr">
        <is>
          <t>エアレーション装置</t>
        </is>
      </c>
      <c r="B17" s="728" t="inlineStr">
        <is>
          <t>№1</t>
        </is>
      </c>
      <c r="C17" s="310" t="inlineStr">
        <is>
          <t>電流値</t>
        </is>
      </c>
      <c r="D17" s="734" t="inlineStr">
        <is>
          <t>Ａ</t>
        </is>
      </c>
      <c r="E17" s="932" t="n"/>
      <c r="F17" s="933" t="n"/>
      <c r="G17" s="932" t="n"/>
      <c r="H17" s="932" t="n"/>
      <c r="I17" s="933" t="n"/>
      <c r="J17" s="9" t="n"/>
      <c r="K17" s="9" t="n"/>
      <c r="L17" s="9" t="n"/>
      <c r="M17" s="9" t="n"/>
      <c r="N17" s="9" t="n"/>
      <c r="O17" s="9" t="n"/>
    </row>
    <row r="18">
      <c r="A18" s="679" t="n"/>
      <c r="B18" s="679" t="n"/>
      <c r="C18" s="314">
        <f>C14</f>
        <v/>
      </c>
      <c r="D18" s="315" t="n"/>
      <c r="E18" s="316" t="n"/>
      <c r="F18" s="317" t="n"/>
      <c r="G18" s="316" t="n"/>
      <c r="H18" s="316" t="n"/>
      <c r="I18" s="317" t="n"/>
      <c r="J18" s="9" t="n"/>
      <c r="K18" s="76" t="n"/>
      <c r="L18" s="76" t="n"/>
      <c r="M18" s="76" t="n"/>
      <c r="N18" s="9" t="n"/>
      <c r="O18" s="9" t="n"/>
    </row>
    <row r="19" ht="18" customHeight="1">
      <c r="A19" s="679" t="n"/>
      <c r="B19" s="626" t="n"/>
      <c r="C19" s="743" t="inlineStr">
        <is>
          <t>モード確認</t>
        </is>
      </c>
      <c r="D19" s="591" t="n"/>
      <c r="E19" s="320" t="n"/>
      <c r="F19" s="321" t="n"/>
      <c r="G19" s="320" t="n"/>
      <c r="H19" s="320" t="n"/>
      <c r="I19" s="321" t="n"/>
      <c r="J19" s="9" t="n"/>
      <c r="K19" s="9" t="n"/>
      <c r="L19" s="9" t="n"/>
      <c r="M19" s="9" t="n"/>
      <c r="N19" s="9" t="n"/>
      <c r="O19" s="9" t="n"/>
    </row>
    <row r="20">
      <c r="A20" s="679" t="n"/>
      <c r="B20" s="728" t="inlineStr">
        <is>
          <t>№2</t>
        </is>
      </c>
      <c r="C20" s="310" t="inlineStr">
        <is>
          <t>電流値</t>
        </is>
      </c>
      <c r="D20" s="734" t="inlineStr">
        <is>
          <t>Ａ</t>
        </is>
      </c>
      <c r="E20" s="932" t="n"/>
      <c r="F20" s="933" t="n"/>
      <c r="G20" s="932" t="n"/>
      <c r="H20" s="932" t="n"/>
      <c r="I20" s="933" t="n"/>
      <c r="J20" s="9" t="n"/>
      <c r="K20" s="76" t="n"/>
      <c r="L20" s="76" t="n"/>
      <c r="M20" s="76" t="n"/>
      <c r="N20" s="9" t="n"/>
      <c r="O20" s="9" t="n"/>
    </row>
    <row r="21">
      <c r="A21" s="679" t="n"/>
      <c r="B21" s="679" t="n"/>
      <c r="C21" s="314">
        <f>C18</f>
        <v/>
      </c>
      <c r="D21" s="315" t="n"/>
      <c r="E21" s="316" t="n"/>
      <c r="F21" s="317" t="n"/>
      <c r="G21" s="316" t="n"/>
      <c r="H21" s="316" t="n"/>
      <c r="I21" s="317" t="n"/>
      <c r="J21" s="9" t="n"/>
      <c r="K21" s="9" t="n"/>
      <c r="L21" s="9" t="n"/>
      <c r="M21" s="9" t="n"/>
      <c r="N21" s="9" t="n"/>
      <c r="O21" s="9" t="n"/>
    </row>
    <row r="22" ht="18" customHeight="1">
      <c r="A22" s="679" t="n"/>
      <c r="B22" s="626" t="n"/>
      <c r="C22" s="743" t="inlineStr">
        <is>
          <t>モード確認</t>
        </is>
      </c>
      <c r="D22" s="591" t="n"/>
      <c r="E22" s="320" t="n"/>
      <c r="F22" s="321" t="n"/>
      <c r="G22" s="320" t="n"/>
      <c r="H22" s="320" t="n"/>
      <c r="I22" s="321" t="n"/>
      <c r="J22" s="9" t="n"/>
      <c r="K22" s="76" t="n"/>
      <c r="L22" s="76" t="n"/>
      <c r="M22" s="9" t="n"/>
      <c r="N22" s="9" t="n"/>
      <c r="O22" s="9" t="n"/>
    </row>
    <row r="23">
      <c r="A23" s="679" t="n"/>
      <c r="B23" s="728" t="inlineStr">
        <is>
          <t>№3</t>
        </is>
      </c>
      <c r="C23" s="310" t="inlineStr">
        <is>
          <t>電流値</t>
        </is>
      </c>
      <c r="D23" s="734" t="inlineStr">
        <is>
          <t>Ａ</t>
        </is>
      </c>
      <c r="E23" s="932" t="n"/>
      <c r="F23" s="933" t="n"/>
      <c r="G23" s="932" t="n"/>
      <c r="H23" s="932" t="n"/>
      <c r="I23" s="933" t="n"/>
      <c r="J23" s="9" t="n"/>
      <c r="K23" s="76" t="n"/>
      <c r="L23" s="76" t="n"/>
      <c r="M23" s="9" t="n"/>
      <c r="N23" s="9" t="n"/>
      <c r="O23" s="9" t="n"/>
    </row>
    <row r="24">
      <c r="A24" s="679" t="n"/>
      <c r="B24" s="679" t="n"/>
      <c r="C24" s="314">
        <f>C21</f>
        <v/>
      </c>
      <c r="D24" s="315" t="n"/>
      <c r="E24" s="316" t="n"/>
      <c r="F24" s="317" t="n"/>
      <c r="G24" s="316" t="n"/>
      <c r="H24" s="316" t="n"/>
      <c r="I24" s="317" t="n"/>
      <c r="J24" s="9" t="n"/>
      <c r="K24" s="9" t="n"/>
      <c r="L24" s="9" t="n"/>
      <c r="M24" s="9" t="n"/>
      <c r="N24" s="9" t="n"/>
      <c r="O24" s="9" t="n"/>
    </row>
    <row r="25" ht="18" customHeight="1">
      <c r="A25" s="679" t="n"/>
      <c r="B25" s="626" t="n"/>
      <c r="C25" s="743" t="inlineStr">
        <is>
          <t>モード確認</t>
        </is>
      </c>
      <c r="D25" s="591" t="n"/>
      <c r="E25" s="320" t="n"/>
      <c r="F25" s="321" t="n"/>
      <c r="G25" s="320" t="n"/>
      <c r="H25" s="320" t="n"/>
      <c r="I25" s="321" t="n"/>
      <c r="J25" s="9" t="n"/>
      <c r="K25" s="9" t="n"/>
      <c r="L25" s="9" t="n"/>
      <c r="M25" s="9" t="n"/>
      <c r="N25" s="9" t="n"/>
      <c r="O25" s="9" t="n"/>
    </row>
    <row r="26">
      <c r="A26" s="679" t="n"/>
      <c r="B26" s="728" t="inlineStr">
        <is>
          <t>№4</t>
        </is>
      </c>
      <c r="C26" s="310" t="inlineStr">
        <is>
          <t>電流値</t>
        </is>
      </c>
      <c r="D26" s="734" t="inlineStr">
        <is>
          <t>Ａ</t>
        </is>
      </c>
      <c r="E26" s="932" t="n"/>
      <c r="F26" s="933" t="n"/>
      <c r="G26" s="932" t="n"/>
      <c r="H26" s="932" t="n"/>
      <c r="I26" s="933" t="n"/>
      <c r="J26" s="9" t="n"/>
      <c r="K26" s="9" t="n"/>
      <c r="L26" s="9" t="n"/>
      <c r="M26" s="9" t="n"/>
      <c r="N26" s="9" t="n"/>
      <c r="O26" s="9" t="n"/>
    </row>
    <row r="27">
      <c r="A27" s="679" t="n"/>
      <c r="B27" s="679" t="n"/>
      <c r="C27" s="314">
        <f>C24</f>
        <v/>
      </c>
      <c r="D27" s="315" t="n"/>
      <c r="E27" s="316" t="n"/>
      <c r="F27" s="317" t="n"/>
      <c r="G27" s="316" t="n"/>
      <c r="H27" s="316" t="n"/>
      <c r="I27" s="317" t="n"/>
      <c r="J27" s="9" t="n"/>
      <c r="K27" s="9" t="n"/>
      <c r="L27" s="9" t="n"/>
      <c r="M27" s="9" t="n"/>
      <c r="N27" s="9" t="n"/>
      <c r="O27" s="9" t="n"/>
    </row>
    <row r="28" ht="18" customHeight="1">
      <c r="A28" s="626" t="n"/>
      <c r="B28" s="626" t="n"/>
      <c r="C28" s="743" t="inlineStr">
        <is>
          <t>モード確認</t>
        </is>
      </c>
      <c r="D28" s="591" t="n"/>
      <c r="E28" s="320" t="n"/>
      <c r="F28" s="321" t="n"/>
      <c r="G28" s="320" t="n"/>
      <c r="H28" s="320" t="n"/>
      <c r="I28" s="321" t="n"/>
      <c r="J28" s="9" t="n"/>
      <c r="K28" s="9" t="n"/>
      <c r="L28" s="9" t="n"/>
      <c r="M28" s="9" t="n"/>
      <c r="N28" s="9" t="n"/>
      <c r="O28" s="9" t="n"/>
    </row>
    <row r="29">
      <c r="A29" s="729" t="inlineStr">
        <is>
          <t>消泡装置</t>
        </is>
      </c>
      <c r="B29" s="726" t="inlineStr">
        <is>
          <t>―</t>
        </is>
      </c>
      <c r="C29" s="310" t="inlineStr">
        <is>
          <t>消泡ノズル</t>
        </is>
      </c>
      <c r="D29" s="734" t="n"/>
      <c r="E29" s="332" t="n"/>
      <c r="F29" s="333" t="n"/>
      <c r="G29" s="332" t="n"/>
      <c r="H29" s="332" t="n"/>
      <c r="I29" s="333" t="n"/>
      <c r="J29" s="9" t="n"/>
      <c r="K29" s="9" t="n"/>
      <c r="L29" s="9" t="n"/>
      <c r="M29" s="9" t="n"/>
      <c r="N29" s="9" t="n"/>
      <c r="O29" s="9" t="n"/>
    </row>
    <row r="30">
      <c r="A30" s="626" t="n"/>
      <c r="B30" s="626" t="n"/>
      <c r="C30" s="334" t="inlineStr">
        <is>
          <t>消泡状態</t>
        </is>
      </c>
      <c r="D30" s="335" t="n"/>
      <c r="E30" s="324" t="n"/>
      <c r="F30" s="325" t="n"/>
      <c r="G30" s="324" t="n"/>
      <c r="H30" s="324" t="n"/>
      <c r="I30" s="325" t="n"/>
      <c r="J30" s="9" t="n"/>
      <c r="K30" s="9" t="n"/>
      <c r="L30" s="9" t="n"/>
      <c r="M30" s="9" t="n"/>
      <c r="N30" s="9" t="n"/>
      <c r="O30" s="9" t="n"/>
    </row>
    <row r="31">
      <c r="A31" s="729" t="inlineStr">
        <is>
          <t>流出可動堰</t>
        </is>
      </c>
      <c r="B31" s="336" t="n">
        <v>1</v>
      </c>
      <c r="C31" s="310" t="inlineStr">
        <is>
          <t>開度</t>
        </is>
      </c>
      <c r="D31" s="734" t="inlineStr">
        <is>
          <t>㎜</t>
        </is>
      </c>
      <c r="E31" s="332" t="n"/>
      <c r="F31" s="333" t="n"/>
      <c r="G31" s="332" t="n"/>
      <c r="H31" s="332" t="n"/>
      <c r="I31" s="333" t="n"/>
      <c r="J31" s="9" t="n"/>
      <c r="K31" s="9" t="n"/>
      <c r="L31" s="9" t="n"/>
      <c r="M31" s="9" t="n"/>
      <c r="N31" s="9" t="n"/>
      <c r="O31" s="9" t="n"/>
    </row>
    <row r="32">
      <c r="A32" s="626" t="n"/>
      <c r="B32" s="337" t="n">
        <v>2</v>
      </c>
      <c r="C32" s="334" t="inlineStr">
        <is>
          <t>開度</t>
        </is>
      </c>
      <c r="D32" s="335" t="inlineStr">
        <is>
          <t>㎜</t>
        </is>
      </c>
      <c r="E32" s="324" t="n"/>
      <c r="F32" s="325" t="n"/>
      <c r="G32" s="324" t="n"/>
      <c r="H32" s="324" t="n"/>
      <c r="I32" s="325" t="n"/>
      <c r="J32" s="9" t="n"/>
      <c r="K32" s="9" t="n"/>
      <c r="L32" s="9" t="n"/>
      <c r="M32" s="9" t="n"/>
      <c r="N32" s="9" t="n"/>
      <c r="O32" s="9" t="n"/>
    </row>
    <row r="33">
      <c r="A33" s="729" t="inlineStr">
        <is>
          <t>流出ゲート</t>
        </is>
      </c>
      <c r="B33" s="336" t="n">
        <v>1</v>
      </c>
      <c r="C33" s="310" t="inlineStr">
        <is>
          <t>開度</t>
        </is>
      </c>
      <c r="D33" s="734" t="inlineStr">
        <is>
          <t>㎜</t>
        </is>
      </c>
      <c r="E33" s="332" t="n"/>
      <c r="F33" s="333" t="n"/>
      <c r="G33" s="332" t="n"/>
      <c r="H33" s="332" t="n"/>
      <c r="I33" s="333" t="n"/>
      <c r="J33" s="9" t="n"/>
      <c r="K33" s="9" t="n"/>
      <c r="L33" s="9" t="n"/>
      <c r="M33" s="9" t="n"/>
      <c r="N33" s="9" t="n"/>
      <c r="O33" s="9" t="n"/>
    </row>
    <row r="34">
      <c r="A34" s="626" t="n"/>
      <c r="B34" s="337" t="n">
        <v>2</v>
      </c>
      <c r="C34" s="334" t="inlineStr">
        <is>
          <t>開度</t>
        </is>
      </c>
      <c r="D34" s="335" t="inlineStr">
        <is>
          <t>㎜</t>
        </is>
      </c>
      <c r="E34" s="324" t="n"/>
      <c r="F34" s="325" t="n"/>
      <c r="G34" s="324" t="n"/>
      <c r="H34" s="324" t="n"/>
      <c r="I34" s="325" t="n"/>
      <c r="J34" s="9" t="n"/>
      <c r="K34" s="9" t="n"/>
      <c r="L34" s="9" t="n"/>
      <c r="M34" s="9" t="n"/>
      <c r="N34" s="9" t="n"/>
      <c r="O34" s="9" t="n"/>
    </row>
    <row r="35">
      <c r="A35" s="729" t="inlineStr">
        <is>
          <t>連絡ゲート</t>
        </is>
      </c>
      <c r="B35" s="726" t="inlineStr">
        <is>
          <t>－</t>
        </is>
      </c>
      <c r="C35" s="306" t="inlineStr">
        <is>
          <t>開度</t>
        </is>
      </c>
      <c r="D35" s="307" t="inlineStr">
        <is>
          <t>㎜</t>
        </is>
      </c>
      <c r="E35" s="308" t="n"/>
      <c r="F35" s="309" t="n"/>
      <c r="G35" s="308" t="n"/>
      <c r="H35" s="308" t="n"/>
      <c r="I35" s="309" t="n"/>
      <c r="J35" s="9" t="n"/>
      <c r="K35" s="9" t="n"/>
      <c r="L35" s="9" t="n"/>
      <c r="M35" s="9" t="n"/>
      <c r="N35" s="9" t="n"/>
      <c r="O35" s="9" t="n"/>
    </row>
    <row r="36">
      <c r="A36" s="741" t="inlineStr">
        <is>
          <t>終沈汚泥掻寄機</t>
        </is>
      </c>
      <c r="B36" s="726" t="n">
        <v>1</v>
      </c>
      <c r="C36" s="310" t="inlineStr">
        <is>
          <t>電流値</t>
        </is>
      </c>
      <c r="D36" s="734" t="inlineStr">
        <is>
          <t>Ａ</t>
        </is>
      </c>
      <c r="E36" s="338" t="n"/>
      <c r="F36" s="339" t="n"/>
      <c r="G36" s="338" t="n"/>
      <c r="H36" s="338" t="n"/>
      <c r="I36" s="339" t="n"/>
      <c r="J36" s="9" t="n"/>
      <c r="K36" s="9" t="n"/>
      <c r="L36" s="9" t="n"/>
      <c r="M36" s="9" t="n"/>
      <c r="N36" s="9" t="n"/>
      <c r="O36" s="9" t="n"/>
    </row>
    <row r="37">
      <c r="A37" s="679" t="n"/>
      <c r="B37" s="626" t="n"/>
      <c r="C37" s="340" t="inlineStr">
        <is>
          <t>異音、振動等</t>
        </is>
      </c>
      <c r="D37" s="335" t="n"/>
      <c r="E37" s="324" t="n"/>
      <c r="F37" s="325" t="n"/>
      <c r="G37" s="324" t="n"/>
      <c r="H37" s="324" t="n"/>
      <c r="I37" s="325" t="n"/>
      <c r="J37" s="9" t="n"/>
      <c r="K37" s="9" t="n"/>
      <c r="L37" s="9" t="n"/>
      <c r="M37" s="9" t="n"/>
      <c r="N37" s="9" t="n"/>
      <c r="O37" s="9" t="n"/>
    </row>
    <row r="38">
      <c r="A38" s="679" t="n"/>
      <c r="B38" s="726" t="n">
        <v>2</v>
      </c>
      <c r="C38" s="341" t="inlineStr">
        <is>
          <t>電流値</t>
        </is>
      </c>
      <c r="D38" s="342" t="inlineStr">
        <is>
          <t>Ａ</t>
        </is>
      </c>
      <c r="E38" s="338" t="n"/>
      <c r="F38" s="339" t="n"/>
      <c r="G38" s="338" t="n"/>
      <c r="H38" s="338" t="n"/>
      <c r="I38" s="339" t="n"/>
      <c r="J38" s="9" t="n"/>
      <c r="K38" s="9" t="n"/>
      <c r="L38" s="9" t="n"/>
      <c r="M38" s="9" t="n"/>
      <c r="N38" s="9" t="n"/>
      <c r="O38" s="9" t="n"/>
    </row>
    <row r="39">
      <c r="A39" s="626" t="n"/>
      <c r="B39" s="626" t="n"/>
      <c r="C39" s="318">
        <f>C37</f>
        <v/>
      </c>
      <c r="D39" s="319" t="n"/>
      <c r="E39" s="320" t="n"/>
      <c r="F39" s="321" t="n"/>
      <c r="G39" s="320" t="n"/>
      <c r="H39" s="320" t="n"/>
      <c r="I39" s="321" t="n"/>
      <c r="J39" s="9" t="n"/>
      <c r="K39" s="9" t="n"/>
      <c r="L39" s="9" t="n"/>
      <c r="M39" s="9" t="n"/>
      <c r="N39" s="9" t="n"/>
      <c r="O39" s="9" t="n"/>
    </row>
    <row r="40">
      <c r="A40" s="741" t="inlineStr">
        <is>
          <t>スカムスキマー</t>
        </is>
      </c>
      <c r="B40" s="726" t="n">
        <v>1</v>
      </c>
      <c r="C40" s="310" t="inlineStr">
        <is>
          <t>動作状況</t>
        </is>
      </c>
      <c r="D40" s="734" t="n"/>
      <c r="E40" s="332" t="n"/>
      <c r="F40" s="333" t="n"/>
      <c r="G40" s="332" t="n"/>
      <c r="H40" s="332" t="n"/>
      <c r="I40" s="333" t="n"/>
      <c r="J40" s="9" t="n"/>
      <c r="K40" s="9" t="n"/>
      <c r="L40" s="9" t="n"/>
      <c r="M40" s="9" t="n"/>
      <c r="N40" s="9" t="n"/>
      <c r="O40" s="9" t="n"/>
    </row>
    <row r="41">
      <c r="A41" s="679" t="n"/>
      <c r="B41" s="626" t="n"/>
      <c r="C41" s="334" t="inlineStr">
        <is>
          <t>スカムの状況</t>
        </is>
      </c>
      <c r="D41" s="335" t="n"/>
      <c r="E41" s="324" t="n"/>
      <c r="F41" s="325" t="n"/>
      <c r="G41" s="324" t="n"/>
      <c r="H41" s="324" t="n"/>
      <c r="I41" s="325" t="n"/>
      <c r="J41" s="9" t="n"/>
      <c r="K41" s="9" t="n"/>
      <c r="L41" s="9" t="n"/>
      <c r="M41" s="9" t="n"/>
      <c r="N41" s="9" t="n"/>
      <c r="O41" s="9" t="n"/>
    </row>
    <row r="42">
      <c r="A42" s="679" t="n"/>
      <c r="B42" s="726" t="n">
        <v>2</v>
      </c>
      <c r="C42" s="341" t="inlineStr">
        <is>
          <t>動作状況</t>
        </is>
      </c>
      <c r="D42" s="342" t="n"/>
      <c r="E42" s="326" t="n"/>
      <c r="F42" s="327" t="n"/>
      <c r="G42" s="326" t="n"/>
      <c r="H42" s="326" t="n"/>
      <c r="I42" s="327" t="n"/>
      <c r="J42" s="9" t="n"/>
      <c r="K42" s="9" t="n"/>
      <c r="L42" s="9" t="n"/>
      <c r="M42" s="9" t="n"/>
      <c r="N42" s="9" t="n"/>
      <c r="O42" s="9" t="n"/>
    </row>
    <row r="43">
      <c r="A43" s="626" t="n"/>
      <c r="B43" s="626" t="n"/>
      <c r="C43" s="318" t="inlineStr">
        <is>
          <t>スカムの状況</t>
        </is>
      </c>
      <c r="D43" s="319" t="n"/>
      <c r="E43" s="320" t="n"/>
      <c r="F43" s="321" t="n"/>
      <c r="G43" s="320" t="n"/>
      <c r="H43" s="320" t="n"/>
      <c r="I43" s="321" t="n"/>
      <c r="J43" s="9" t="n"/>
      <c r="K43" s="9" t="n"/>
      <c r="L43" s="9" t="n"/>
      <c r="M43" s="9" t="n"/>
      <c r="N43" s="9" t="n"/>
      <c r="O43" s="9" t="n"/>
    </row>
    <row r="44">
      <c r="A44" s="749" t="inlineStr">
        <is>
          <t>返送汚泥ポンプ</t>
        </is>
      </c>
      <c r="B44" s="728" t="inlineStr">
        <is>
          <t>№1</t>
        </is>
      </c>
      <c r="C44" s="310" t="inlineStr">
        <is>
          <t>電流値</t>
        </is>
      </c>
      <c r="D44" s="734" t="inlineStr">
        <is>
          <t>Ａ</t>
        </is>
      </c>
      <c r="E44" s="932" t="n"/>
      <c r="F44" s="933" t="n"/>
      <c r="G44" s="932" t="n"/>
      <c r="H44" s="932" t="n"/>
      <c r="I44" s="933" t="n"/>
      <c r="J44" s="9" t="n"/>
      <c r="K44" s="9" t="n"/>
      <c r="L44" s="9" t="n"/>
      <c r="M44" s="9" t="n"/>
      <c r="N44" s="9" t="n"/>
      <c r="O44" s="9" t="n"/>
    </row>
    <row r="45">
      <c r="A45" s="679" t="n"/>
      <c r="B45" s="679" t="n"/>
      <c r="C45" s="314" t="inlineStr">
        <is>
          <t>吐出圧力</t>
        </is>
      </c>
      <c r="D45" s="315" t="inlineStr">
        <is>
          <t>Mpa</t>
        </is>
      </c>
      <c r="E45" s="316" t="n"/>
      <c r="F45" s="317" t="n"/>
      <c r="G45" s="316" t="n"/>
      <c r="H45" s="316" t="n"/>
      <c r="I45" s="317" t="n"/>
      <c r="J45" s="9" t="n"/>
      <c r="K45" s="9" t="n"/>
      <c r="L45" s="9" t="n"/>
      <c r="M45" s="9" t="n"/>
      <c r="N45" s="9" t="n"/>
      <c r="O45" s="9" t="n"/>
    </row>
    <row r="46">
      <c r="A46" s="679" t="n"/>
      <c r="B46" s="626" t="n"/>
      <c r="C46" s="318" t="inlineStr">
        <is>
          <t>異音、振動</t>
        </is>
      </c>
      <c r="D46" s="319" t="n"/>
      <c r="E46" s="320" t="n"/>
      <c r="F46" s="321" t="n"/>
      <c r="G46" s="320" t="n"/>
      <c r="H46" s="320" t="n"/>
      <c r="I46" s="321" t="n"/>
      <c r="J46" s="9" t="n"/>
      <c r="K46" s="9" t="n"/>
      <c r="L46" s="9" t="n"/>
      <c r="M46" s="9" t="n"/>
      <c r="N46" s="9" t="n"/>
      <c r="O46" s="9" t="n"/>
    </row>
    <row r="47">
      <c r="A47" s="679" t="n"/>
      <c r="B47" s="728" t="inlineStr">
        <is>
          <t>№2</t>
        </is>
      </c>
      <c r="C47" s="310" t="inlineStr">
        <is>
          <t>電流値</t>
        </is>
      </c>
      <c r="D47" s="734" t="inlineStr">
        <is>
          <t>Ａ</t>
        </is>
      </c>
      <c r="E47" s="332" t="n"/>
      <c r="F47" s="333" t="n"/>
      <c r="G47" s="332" t="n"/>
      <c r="H47" s="332" t="n"/>
      <c r="I47" s="333" t="n"/>
      <c r="J47" s="9" t="n"/>
      <c r="K47" s="9" t="n"/>
      <c r="L47" s="9" t="n"/>
      <c r="M47" s="9" t="n"/>
      <c r="N47" s="9" t="n"/>
      <c r="O47" s="9" t="n"/>
    </row>
    <row r="48">
      <c r="A48" s="679" t="n"/>
      <c r="B48" s="679" t="n"/>
      <c r="C48" s="314">
        <f>C45</f>
        <v/>
      </c>
      <c r="D48" s="315" t="inlineStr">
        <is>
          <t>Mpa</t>
        </is>
      </c>
      <c r="E48" s="316" t="n"/>
      <c r="F48" s="317" t="n"/>
      <c r="G48" s="316" t="n"/>
      <c r="H48" s="316" t="n"/>
      <c r="I48" s="317" t="n"/>
      <c r="J48" s="9" t="n"/>
      <c r="K48" s="9" t="n"/>
      <c r="L48" s="9" t="n"/>
      <c r="M48" s="9" t="n"/>
      <c r="N48" s="9" t="n"/>
      <c r="O48" s="9" t="n"/>
    </row>
    <row r="49">
      <c r="A49" s="679" t="n"/>
      <c r="B49" s="626" t="n"/>
      <c r="C49" s="318" t="inlineStr">
        <is>
          <t>異音、振動</t>
        </is>
      </c>
      <c r="D49" s="319" t="n"/>
      <c r="E49" s="320" t="n"/>
      <c r="F49" s="321" t="n"/>
      <c r="G49" s="320" t="n"/>
      <c r="H49" s="320" t="n"/>
      <c r="I49" s="321" t="n"/>
      <c r="J49" s="9" t="n"/>
      <c r="K49" s="9" t="n"/>
      <c r="L49" s="9" t="n"/>
      <c r="M49" s="9" t="n"/>
      <c r="N49" s="9" t="n"/>
      <c r="O49" s="9" t="n"/>
    </row>
    <row r="50">
      <c r="A50" s="679" t="n"/>
      <c r="B50" s="728" t="inlineStr">
        <is>
          <t>―</t>
        </is>
      </c>
      <c r="C50" s="310" t="inlineStr">
        <is>
          <t>モード確認</t>
        </is>
      </c>
      <c r="D50" s="734" t="n"/>
      <c r="E50" s="332" t="n"/>
      <c r="F50" s="333" t="n"/>
      <c r="G50" s="332" t="n"/>
      <c r="H50" s="332" t="n"/>
      <c r="I50" s="333" t="n"/>
      <c r="J50" s="9" t="n"/>
      <c r="K50" s="9" t="n"/>
      <c r="L50" s="9" t="n"/>
      <c r="M50" s="9" t="n"/>
      <c r="N50" s="9" t="n"/>
      <c r="O50" s="9" t="n"/>
    </row>
    <row r="51">
      <c r="A51" s="679" t="n"/>
      <c r="B51" s="626" t="n"/>
      <c r="C51" s="334" t="inlineStr">
        <is>
          <t>常用機選択</t>
        </is>
      </c>
      <c r="D51" s="335" t="n"/>
      <c r="E51" s="324" t="n"/>
      <c r="F51" s="325" t="n"/>
      <c r="G51" s="324" t="n"/>
      <c r="H51" s="324" t="n"/>
      <c r="I51" s="325" t="n"/>
      <c r="J51" s="9" t="n"/>
      <c r="K51" s="343" t="n"/>
      <c r="L51" s="343" t="n"/>
      <c r="M51" s="9" t="n"/>
      <c r="N51" s="9" t="n"/>
      <c r="O51" s="9" t="n"/>
    </row>
    <row r="52">
      <c r="A52" s="679" t="n"/>
      <c r="B52" s="728" t="inlineStr">
        <is>
          <t>№3</t>
        </is>
      </c>
      <c r="C52" s="310" t="inlineStr">
        <is>
          <t>電流値</t>
        </is>
      </c>
      <c r="D52" s="734" t="inlineStr">
        <is>
          <t>Ａ</t>
        </is>
      </c>
      <c r="E52" s="932" t="n"/>
      <c r="F52" s="933" t="n"/>
      <c r="G52" s="932" t="n"/>
      <c r="H52" s="932" t="n"/>
      <c r="I52" s="933" t="n"/>
      <c r="J52" s="9" t="n"/>
      <c r="K52" s="9" t="n"/>
      <c r="L52" s="9" t="n"/>
      <c r="M52" s="9" t="n"/>
      <c r="N52" s="9" t="n"/>
      <c r="O52" s="9" t="n"/>
    </row>
    <row r="53">
      <c r="A53" s="679" t="n"/>
      <c r="B53" s="679" t="n"/>
      <c r="C53" s="314">
        <f>C48</f>
        <v/>
      </c>
      <c r="D53" s="315" t="inlineStr">
        <is>
          <t>Mpa</t>
        </is>
      </c>
      <c r="E53" s="316" t="n"/>
      <c r="F53" s="317" t="n"/>
      <c r="G53" s="316" t="n"/>
      <c r="H53" s="316" t="n"/>
      <c r="I53" s="317" t="n"/>
      <c r="J53" s="9" t="n"/>
      <c r="K53" s="9" t="n"/>
      <c r="L53" s="9" t="n"/>
      <c r="M53" s="9" t="n"/>
      <c r="N53" s="9" t="n"/>
      <c r="O53" s="9" t="n"/>
    </row>
    <row r="54">
      <c r="A54" s="679" t="n"/>
      <c r="B54" s="626" t="n"/>
      <c r="C54" s="318" t="inlineStr">
        <is>
          <t>異音、振動</t>
        </is>
      </c>
      <c r="D54" s="319" t="n"/>
      <c r="E54" s="320" t="n"/>
      <c r="F54" s="321" t="n"/>
      <c r="G54" s="320" t="n"/>
      <c r="H54" s="320" t="n"/>
      <c r="I54" s="321" t="n"/>
      <c r="J54" s="9" t="n"/>
      <c r="K54" s="9" t="n"/>
      <c r="L54" s="9" t="n"/>
      <c r="M54" s="9" t="n"/>
      <c r="N54" s="9" t="n"/>
      <c r="O54" s="9" t="n"/>
    </row>
    <row r="55">
      <c r="A55" s="679" t="n"/>
      <c r="B55" s="728" t="inlineStr">
        <is>
          <t>№4</t>
        </is>
      </c>
      <c r="C55" s="310" t="inlineStr">
        <is>
          <t>電流値</t>
        </is>
      </c>
      <c r="D55" s="734" t="inlineStr">
        <is>
          <t>Ａ</t>
        </is>
      </c>
      <c r="E55" s="332" t="n"/>
      <c r="F55" s="333" t="n"/>
      <c r="G55" s="332" t="n"/>
      <c r="H55" s="332" t="n"/>
      <c r="I55" s="333" t="n"/>
      <c r="J55" s="9" t="n"/>
      <c r="K55" s="9" t="n"/>
      <c r="L55" s="9" t="n"/>
      <c r="M55" s="9" t="n"/>
      <c r="N55" s="9" t="n"/>
      <c r="O55" s="9" t="n"/>
    </row>
    <row r="56">
      <c r="A56" s="679" t="n"/>
      <c r="B56" s="679" t="n"/>
      <c r="C56" s="314">
        <f>C53</f>
        <v/>
      </c>
      <c r="D56" s="315" t="inlineStr">
        <is>
          <t>Mpa</t>
        </is>
      </c>
      <c r="E56" s="316" t="n"/>
      <c r="F56" s="317" t="n"/>
      <c r="G56" s="316" t="n"/>
      <c r="H56" s="316" t="n"/>
      <c r="I56" s="317" t="n"/>
      <c r="J56" s="9" t="n"/>
      <c r="K56" s="9" t="n"/>
      <c r="L56" s="9" t="n"/>
      <c r="M56" s="9" t="n"/>
      <c r="N56" s="9" t="n"/>
      <c r="O56" s="9" t="n"/>
    </row>
    <row r="57">
      <c r="A57" s="679" t="n"/>
      <c r="B57" s="626" t="n"/>
      <c r="C57" s="318" t="inlineStr">
        <is>
          <t>異音、振動</t>
        </is>
      </c>
      <c r="D57" s="319" t="n"/>
      <c r="E57" s="320" t="n"/>
      <c r="F57" s="321" t="n"/>
      <c r="G57" s="320" t="n"/>
      <c r="H57" s="320" t="n"/>
      <c r="I57" s="321" t="n"/>
      <c r="J57" s="9" t="n"/>
      <c r="K57" s="9" t="n"/>
      <c r="L57" s="9" t="n"/>
      <c r="M57" s="9" t="n"/>
      <c r="N57" s="9" t="n"/>
      <c r="O57" s="9" t="n"/>
    </row>
    <row r="58">
      <c r="A58" s="679" t="n"/>
      <c r="B58" s="754" t="inlineStr">
        <is>
          <t>―</t>
        </is>
      </c>
      <c r="C58" s="310" t="inlineStr">
        <is>
          <t>モード確認</t>
        </is>
      </c>
      <c r="D58" s="734" t="n"/>
      <c r="E58" s="332" t="n"/>
      <c r="F58" s="333" t="n"/>
      <c r="G58" s="332" t="n"/>
      <c r="H58" s="332" t="n"/>
      <c r="I58" s="333" t="n"/>
      <c r="J58" s="9" t="n"/>
      <c r="K58" s="9" t="n"/>
      <c r="L58" s="9" t="n"/>
      <c r="M58" s="9" t="n"/>
      <c r="N58" s="9" t="n"/>
      <c r="O58" s="9" t="n"/>
    </row>
    <row r="59">
      <c r="A59" s="679" t="n"/>
      <c r="B59" s="679" t="n"/>
      <c r="C59" s="334" t="inlineStr">
        <is>
          <t>常用機選択</t>
        </is>
      </c>
      <c r="D59" s="335" t="n"/>
      <c r="E59" s="324" t="n"/>
      <c r="F59" s="325" t="n"/>
      <c r="G59" s="324" t="n"/>
      <c r="H59" s="324" t="n"/>
      <c r="I59" s="325" t="n"/>
      <c r="J59" s="9" t="n"/>
      <c r="K59" s="343" t="n"/>
      <c r="L59" s="343" t="n"/>
      <c r="M59" s="343" t="n"/>
      <c r="N59" s="9" t="n"/>
      <c r="O59" s="9" t="n"/>
    </row>
    <row r="60" ht="18" customHeight="1">
      <c r="A60" s="747" t="inlineStr">
        <is>
          <t xml:space="preserve">　○：良　　△：要注意　　×：要修理</t>
        </is>
      </c>
      <c r="B60" s="586" t="n"/>
      <c r="C60" s="586" t="n"/>
      <c r="D60" s="586" t="n"/>
      <c r="E60" s="586" t="n"/>
      <c r="F60" s="586" t="n"/>
      <c r="G60" s="586" t="n"/>
      <c r="H60" s="586" t="n"/>
      <c r="I60" s="586" t="n"/>
      <c r="J60" s="9" t="n"/>
      <c r="K60" s="9" t="n"/>
      <c r="L60" s="9" t="n"/>
      <c r="M60" s="9" t="n"/>
      <c r="N60" s="9" t="n"/>
      <c r="O60" s="9" t="n"/>
    </row>
    <row r="61" ht="22" customHeight="1">
      <c r="A61" s="299" t="inlineStr">
        <is>
          <t>機械設備日常点検表（２/３）</t>
        </is>
      </c>
      <c r="B61" s="594" t="n"/>
      <c r="C61" s="300" t="n"/>
      <c r="D61" s="594" t="n"/>
      <c r="E61" s="594" t="n"/>
      <c r="F61" s="594" t="n"/>
      <c r="G61" s="594" t="n"/>
      <c r="H61" s="300">
        <f>H1</f>
        <v/>
      </c>
      <c r="I61" s="594" t="n"/>
      <c r="J61" s="9" t="n"/>
      <c r="K61" s="9" t="n"/>
      <c r="L61" s="9" t="n"/>
      <c r="M61" s="9" t="n"/>
      <c r="N61" s="9" t="n"/>
      <c r="O61" s="9" t="n"/>
    </row>
    <row r="62" ht="18" customHeight="1">
      <c r="A62" s="726" t="inlineStr">
        <is>
          <t>機　器　名</t>
        </is>
      </c>
      <c r="B62" s="726" t="inlineStr">
        <is>
          <t>No</t>
        </is>
      </c>
      <c r="C62" s="726" t="inlineStr">
        <is>
          <t>点 検 者</t>
        </is>
      </c>
      <c r="D62" s="580" t="n"/>
      <c r="E62" s="302">
        <f>E2</f>
        <v/>
      </c>
      <c r="F62" s="726">
        <f>F2</f>
        <v/>
      </c>
      <c r="G62" s="726">
        <f>G2</f>
        <v/>
      </c>
      <c r="H62" s="726">
        <f>H2</f>
        <v/>
      </c>
      <c r="I62" s="726">
        <f>I2</f>
        <v/>
      </c>
      <c r="J62" s="9" t="n"/>
      <c r="K62" s="9" t="n"/>
      <c r="L62" s="9" t="n"/>
      <c r="M62" s="9" t="n"/>
      <c r="N62" s="9" t="n"/>
      <c r="O62" s="9" t="n"/>
    </row>
    <row r="63" ht="18" customHeight="1">
      <c r="A63" s="626" t="n"/>
      <c r="B63" s="626" t="n"/>
      <c r="C63" s="726" t="inlineStr">
        <is>
          <t>点検内容</t>
        </is>
      </c>
      <c r="D63" s="580" t="n"/>
      <c r="E63" s="930">
        <f>E3</f>
        <v/>
      </c>
      <c r="F63" s="931">
        <f>F3</f>
        <v/>
      </c>
      <c r="G63" s="931">
        <f>G3</f>
        <v/>
      </c>
      <c r="H63" s="931">
        <f>H3</f>
        <v/>
      </c>
      <c r="I63" s="931">
        <f>I3</f>
        <v/>
      </c>
      <c r="J63" s="9" t="n"/>
      <c r="K63" s="9" t="n"/>
      <c r="L63" s="9" t="n"/>
      <c r="M63" s="9" t="n"/>
      <c r="N63" s="9" t="n"/>
      <c r="O63" s="9" t="n"/>
    </row>
    <row r="64">
      <c r="A64" s="741" t="inlineStr">
        <is>
          <t>余剰汚泥ポンプ</t>
        </is>
      </c>
      <c r="B64" s="726" t="n">
        <v>1</v>
      </c>
      <c r="C64" s="310" t="inlineStr">
        <is>
          <t>電流値</t>
        </is>
      </c>
      <c r="D64" s="734" t="inlineStr">
        <is>
          <t>Ａ</t>
        </is>
      </c>
      <c r="E64" s="932" t="n"/>
      <c r="F64" s="933" t="n"/>
      <c r="G64" s="933" t="n"/>
      <c r="H64" s="933" t="n"/>
      <c r="I64" s="933" t="n"/>
      <c r="J64" s="9" t="n"/>
      <c r="K64" s="9" t="n"/>
      <c r="L64" s="9" t="n"/>
      <c r="M64" s="9" t="n"/>
      <c r="N64" s="9" t="n"/>
      <c r="O64" s="9" t="n"/>
    </row>
    <row r="65">
      <c r="A65" s="679" t="n"/>
      <c r="B65" s="679" t="n"/>
      <c r="C65" s="314">
        <f>C53</f>
        <v/>
      </c>
      <c r="D65" s="315" t="inlineStr">
        <is>
          <t>Mpa</t>
        </is>
      </c>
      <c r="E65" s="316" t="n"/>
      <c r="F65" s="317" t="n"/>
      <c r="G65" s="317" t="n"/>
      <c r="H65" s="317" t="n"/>
      <c r="I65" s="317" t="n"/>
      <c r="J65" s="9" t="n"/>
      <c r="K65" s="345" t="n"/>
      <c r="L65" s="9" t="n"/>
      <c r="M65" s="9" t="n"/>
      <c r="N65" s="9" t="n"/>
      <c r="O65" s="9" t="n"/>
    </row>
    <row r="66">
      <c r="A66" s="679" t="n"/>
      <c r="B66" s="679" t="n"/>
      <c r="C66" s="330" t="inlineStr">
        <is>
          <t>異音、振動</t>
        </is>
      </c>
      <c r="D66" s="331" t="n"/>
      <c r="E66" s="328" t="n"/>
      <c r="F66" s="329" t="n"/>
      <c r="G66" s="329" t="n"/>
      <c r="H66" s="329" t="n"/>
      <c r="I66" s="329" t="n"/>
      <c r="J66" s="9" t="n"/>
      <c r="K66" s="9" t="n"/>
      <c r="L66" s="9" t="n"/>
      <c r="M66" s="9" t="n"/>
      <c r="N66" s="9" t="n"/>
      <c r="O66" s="9" t="n"/>
    </row>
    <row r="67">
      <c r="A67" s="679" t="n"/>
      <c r="B67" s="679" t="n"/>
      <c r="C67" s="314" t="inlineStr">
        <is>
          <t>液漏れ</t>
        </is>
      </c>
      <c r="D67" s="315" t="n"/>
      <c r="E67" s="316" t="n"/>
      <c r="F67" s="317" t="n"/>
      <c r="G67" s="317" t="n"/>
      <c r="H67" s="317" t="n"/>
      <c r="I67" s="317" t="n"/>
      <c r="J67" s="9" t="n"/>
      <c r="K67" s="9" t="n"/>
      <c r="L67" s="9" t="n"/>
      <c r="M67" s="9" t="n"/>
      <c r="N67" s="9" t="n"/>
      <c r="O67" s="9" t="n"/>
    </row>
    <row r="68">
      <c r="A68" s="679" t="n"/>
      <c r="B68" s="626" t="n"/>
      <c r="C68" s="318" t="inlineStr">
        <is>
          <t>モード確認</t>
        </is>
      </c>
      <c r="D68" s="319" t="n"/>
      <c r="E68" s="324" t="n"/>
      <c r="F68" s="325" t="n"/>
      <c r="G68" s="325" t="n"/>
      <c r="H68" s="325" t="n"/>
      <c r="I68" s="325" t="n"/>
      <c r="J68" s="9" t="n"/>
      <c r="K68" s="9" t="n"/>
      <c r="L68" s="9" t="n"/>
      <c r="M68" s="9" t="n"/>
      <c r="N68" s="9" t="n"/>
      <c r="O68" s="9" t="n"/>
    </row>
    <row r="69">
      <c r="A69" s="679" t="n"/>
      <c r="B69" s="726" t="n">
        <v>2</v>
      </c>
      <c r="C69" s="310" t="inlineStr">
        <is>
          <t>電流値</t>
        </is>
      </c>
      <c r="D69" s="734" t="inlineStr">
        <is>
          <t>Ａ</t>
        </is>
      </c>
      <c r="E69" s="932" t="n"/>
      <c r="F69" s="933" t="n"/>
      <c r="G69" s="933" t="n"/>
      <c r="H69" s="933" t="n"/>
      <c r="I69" s="933" t="n"/>
      <c r="J69" s="9" t="n"/>
      <c r="K69" s="9" t="n"/>
      <c r="L69" s="9" t="n"/>
      <c r="M69" s="9" t="n"/>
      <c r="N69" s="9" t="n"/>
      <c r="O69" s="9" t="n"/>
    </row>
    <row r="70">
      <c r="A70" s="679" t="n"/>
      <c r="B70" s="679" t="n"/>
      <c r="C70" s="314">
        <f>C65</f>
        <v/>
      </c>
      <c r="D70" s="315" t="inlineStr">
        <is>
          <t>Mpa</t>
        </is>
      </c>
      <c r="E70" s="316" t="n"/>
      <c r="F70" s="317" t="n"/>
      <c r="G70" s="317" t="n"/>
      <c r="H70" s="317" t="n"/>
      <c r="I70" s="317" t="n"/>
      <c r="J70" s="9" t="n"/>
      <c r="K70" s="345" t="n"/>
      <c r="L70" s="9" t="n"/>
      <c r="M70" s="9" t="n"/>
      <c r="N70" s="9" t="n"/>
      <c r="O70" s="9" t="n"/>
    </row>
    <row r="71">
      <c r="A71" s="679" t="n"/>
      <c r="B71" s="679" t="n"/>
      <c r="C71" s="330" t="inlineStr">
        <is>
          <t>異音、振動</t>
        </is>
      </c>
      <c r="D71" s="331" t="n"/>
      <c r="E71" s="328" t="n"/>
      <c r="F71" s="329" t="n"/>
      <c r="G71" s="329" t="n"/>
      <c r="H71" s="329" t="n"/>
      <c r="I71" s="329" t="n"/>
      <c r="J71" s="9" t="n"/>
      <c r="K71" s="9" t="n"/>
      <c r="L71" s="9" t="n"/>
      <c r="M71" s="9" t="n"/>
      <c r="N71" s="9" t="n"/>
      <c r="O71" s="9" t="n"/>
    </row>
    <row r="72">
      <c r="A72" s="679" t="n"/>
      <c r="B72" s="679" t="n"/>
      <c r="C72" s="314" t="inlineStr">
        <is>
          <t>液漏れ</t>
        </is>
      </c>
      <c r="D72" s="315" t="n"/>
      <c r="E72" s="316" t="n"/>
      <c r="F72" s="317" t="n"/>
      <c r="G72" s="317" t="n"/>
      <c r="H72" s="317" t="n"/>
      <c r="I72" s="317" t="n"/>
      <c r="J72" s="9" t="n"/>
      <c r="K72" s="9" t="n"/>
      <c r="L72" s="9" t="n"/>
      <c r="M72" s="9" t="n"/>
      <c r="N72" s="9" t="n"/>
      <c r="O72" s="9" t="n"/>
    </row>
    <row r="73">
      <c r="A73" s="626" t="n"/>
      <c r="B73" s="626" t="n"/>
      <c r="C73" s="318" t="inlineStr">
        <is>
          <t>モード確認</t>
        </is>
      </c>
      <c r="D73" s="319" t="n"/>
      <c r="E73" s="324" t="n"/>
      <c r="F73" s="325" t="n"/>
      <c r="G73" s="325" t="n"/>
      <c r="H73" s="325" t="n"/>
      <c r="I73" s="325" t="n"/>
      <c r="J73" s="9" t="n"/>
      <c r="K73" s="9" t="n"/>
      <c r="L73" s="9" t="n"/>
      <c r="M73" s="9" t="n"/>
      <c r="N73" s="9" t="n"/>
      <c r="O73" s="9" t="n"/>
    </row>
    <row r="74">
      <c r="A74" s="727" t="inlineStr">
        <is>
          <t>終沈床排水ポンプ</t>
        </is>
      </c>
      <c r="B74" s="726" t="inlineStr">
        <is>
          <t>―</t>
        </is>
      </c>
      <c r="C74" s="341" t="inlineStr">
        <is>
          <t>電流値</t>
        </is>
      </c>
      <c r="D74" s="342" t="inlineStr">
        <is>
          <t>Ａ</t>
        </is>
      </c>
      <c r="E74" s="934" t="n"/>
      <c r="F74" s="935" t="n"/>
      <c r="G74" s="935" t="n"/>
      <c r="H74" s="935" t="n"/>
      <c r="I74" s="935" t="n"/>
      <c r="J74" s="9" t="n"/>
      <c r="K74" s="9" t="n"/>
      <c r="L74" s="9" t="n"/>
      <c r="M74" s="9" t="n"/>
      <c r="N74" s="9" t="n"/>
      <c r="O74" s="9" t="n"/>
    </row>
    <row r="75">
      <c r="A75" s="679" t="n"/>
      <c r="B75" s="679" t="n"/>
      <c r="C75" s="330" t="inlineStr">
        <is>
          <t>吐出圧力</t>
        </is>
      </c>
      <c r="D75" s="331" t="inlineStr">
        <is>
          <t>Mpa</t>
        </is>
      </c>
      <c r="E75" s="328" t="n"/>
      <c r="F75" s="329" t="n"/>
      <c r="G75" s="329" t="n"/>
      <c r="H75" s="329" t="n"/>
      <c r="I75" s="329" t="n"/>
      <c r="J75" s="9" t="n"/>
      <c r="K75" s="9" t="n"/>
      <c r="L75" s="9" t="n"/>
      <c r="M75" s="9" t="n"/>
      <c r="N75" s="9" t="n"/>
      <c r="O75" s="9" t="n"/>
    </row>
    <row r="76">
      <c r="A76" s="679" t="n"/>
      <c r="B76" s="679" t="n"/>
      <c r="C76" s="314">
        <f>C71</f>
        <v/>
      </c>
      <c r="D76" s="315" t="n"/>
      <c r="E76" s="316" t="n"/>
      <c r="F76" s="317" t="n"/>
      <c r="G76" s="317" t="n"/>
      <c r="H76" s="317" t="n"/>
      <c r="I76" s="317" t="n"/>
      <c r="J76" s="9" t="n"/>
      <c r="K76" s="9" t="n"/>
      <c r="L76" s="9" t="n"/>
      <c r="M76" s="9" t="n"/>
      <c r="N76" s="9" t="n"/>
      <c r="O76" s="9" t="n"/>
    </row>
    <row r="77">
      <c r="A77" s="626" t="n"/>
      <c r="B77" s="626" t="n"/>
      <c r="C77" s="318">
        <f>C73</f>
        <v/>
      </c>
      <c r="D77" s="319" t="n"/>
      <c r="E77" s="324" t="n"/>
      <c r="F77" s="325" t="n"/>
      <c r="G77" s="325" t="n"/>
      <c r="H77" s="325" t="n"/>
      <c r="I77" s="325" t="n"/>
      <c r="J77" s="9" t="n"/>
      <c r="K77" s="9" t="n"/>
      <c r="L77" s="9" t="n"/>
      <c r="M77" s="9" t="n"/>
      <c r="N77" s="9" t="n"/>
      <c r="O77" s="9" t="n"/>
    </row>
    <row r="78">
      <c r="A78" s="727" t="inlineStr">
        <is>
          <t>返流水ポンプ</t>
        </is>
      </c>
      <c r="B78" s="728" t="inlineStr">
        <is>
          <t>№1</t>
        </is>
      </c>
      <c r="C78" s="314" t="inlineStr">
        <is>
          <t>吐出圧力</t>
        </is>
      </c>
      <c r="D78" s="315" t="inlineStr">
        <is>
          <t>Mpa</t>
        </is>
      </c>
      <c r="E78" s="316" t="n"/>
      <c r="F78" s="317" t="n"/>
      <c r="G78" s="317" t="n"/>
      <c r="H78" s="317" t="n"/>
      <c r="I78" s="317" t="n"/>
      <c r="J78" s="9" t="n"/>
      <c r="K78" s="9" t="n"/>
      <c r="L78" s="9" t="n"/>
      <c r="M78" s="9" t="n"/>
      <c r="N78" s="9" t="n"/>
      <c r="O78" s="9" t="n"/>
    </row>
    <row r="79">
      <c r="A79" s="679" t="n"/>
      <c r="B79" s="626" t="n"/>
      <c r="C79" s="318" t="inlineStr">
        <is>
          <t>異音、振動</t>
        </is>
      </c>
      <c r="D79" s="319" t="n"/>
      <c r="E79" s="320" t="n"/>
      <c r="F79" s="321" t="n"/>
      <c r="G79" s="321" t="n"/>
      <c r="H79" s="321" t="n"/>
      <c r="I79" s="321" t="n"/>
      <c r="J79" s="9" t="n"/>
      <c r="K79" s="9" t="n"/>
      <c r="L79" s="9" t="n"/>
      <c r="M79" s="9" t="n"/>
      <c r="N79" s="9" t="n"/>
      <c r="O79" s="9" t="n"/>
    </row>
    <row r="80">
      <c r="A80" s="679" t="n"/>
      <c r="B80" s="728" t="inlineStr">
        <is>
          <t>№2</t>
        </is>
      </c>
      <c r="C80" s="314">
        <f>C78</f>
        <v/>
      </c>
      <c r="D80" s="315" t="inlineStr">
        <is>
          <t>Mpa</t>
        </is>
      </c>
      <c r="E80" s="316" t="n"/>
      <c r="F80" s="317" t="n"/>
      <c r="G80" s="317" t="n"/>
      <c r="H80" s="317" t="n"/>
      <c r="I80" s="317" t="n"/>
      <c r="J80" s="9" t="n"/>
      <c r="K80" s="9" t="n"/>
      <c r="L80" s="9" t="n"/>
      <c r="M80" s="9" t="n"/>
      <c r="N80" s="9" t="n"/>
      <c r="O80" s="9" t="n"/>
    </row>
    <row r="81">
      <c r="A81" s="679" t="n"/>
      <c r="B81" s="626" t="n"/>
      <c r="C81" s="318" t="inlineStr">
        <is>
          <t>異音、振動</t>
        </is>
      </c>
      <c r="D81" s="319" t="n"/>
      <c r="E81" s="320" t="n"/>
      <c r="F81" s="321" t="n"/>
      <c r="G81" s="321" t="n"/>
      <c r="H81" s="321" t="n"/>
      <c r="I81" s="321" t="n"/>
      <c r="J81" s="9" t="n"/>
      <c r="K81" s="9" t="n"/>
      <c r="L81" s="9" t="n"/>
      <c r="M81" s="9" t="n"/>
      <c r="N81" s="9" t="n"/>
      <c r="O81" s="9" t="n"/>
    </row>
    <row r="82">
      <c r="A82" s="679" t="n"/>
      <c r="B82" s="728" t="inlineStr">
        <is>
          <t>―</t>
        </is>
      </c>
      <c r="C82" s="310" t="inlineStr">
        <is>
          <t>モード確認</t>
        </is>
      </c>
      <c r="D82" s="734" t="n"/>
      <c r="E82" s="332" t="n"/>
      <c r="F82" s="333" t="n"/>
      <c r="G82" s="333" t="n"/>
      <c r="H82" s="333" t="n"/>
      <c r="I82" s="333" t="n"/>
      <c r="J82" s="9" t="n"/>
      <c r="K82" s="9" t="n"/>
      <c r="L82" s="9" t="n"/>
      <c r="M82" s="9" t="n"/>
      <c r="N82" s="9" t="n"/>
      <c r="O82" s="9" t="n"/>
    </row>
    <row r="83" ht="18" customHeight="1">
      <c r="A83" s="626" t="n"/>
      <c r="B83" s="626" t="n"/>
      <c r="C83" s="742" t="inlineStr">
        <is>
          <t>機種選択</t>
        </is>
      </c>
      <c r="D83" s="731" t="n"/>
      <c r="E83" s="324" t="n"/>
      <c r="F83" s="324" t="n"/>
      <c r="G83" s="324" t="n"/>
      <c r="H83" s="324" t="n"/>
      <c r="I83" s="324" t="n"/>
      <c r="J83" s="9" t="n"/>
      <c r="K83" s="9" t="n"/>
      <c r="L83" s="9" t="n"/>
      <c r="M83" s="9" t="n"/>
      <c r="N83" s="9" t="n"/>
      <c r="O83" s="9" t="n"/>
    </row>
    <row r="84">
      <c r="A84" s="741" t="inlineStr">
        <is>
          <t>濃縮汚泥引抜         ポンプ</t>
        </is>
      </c>
      <c r="B84" s="726" t="n">
        <v>1</v>
      </c>
      <c r="C84" s="310" t="inlineStr">
        <is>
          <t>電流値</t>
        </is>
      </c>
      <c r="D84" s="734" t="inlineStr">
        <is>
          <t>Ａ</t>
        </is>
      </c>
      <c r="E84" s="932" t="n"/>
      <c r="F84" s="932" t="n"/>
      <c r="G84" s="932" t="n"/>
      <c r="H84" s="932" t="n"/>
      <c r="I84" s="932" t="n"/>
      <c r="J84" s="9" t="n"/>
      <c r="K84" s="9" t="n"/>
      <c r="L84" s="9" t="n"/>
      <c r="M84" s="9" t="n"/>
      <c r="N84" s="9" t="n"/>
      <c r="O84" s="9" t="n"/>
    </row>
    <row r="85">
      <c r="A85" s="679" t="n"/>
      <c r="B85" s="679" t="n"/>
      <c r="C85" s="314" t="inlineStr">
        <is>
          <t>吐出圧力</t>
        </is>
      </c>
      <c r="D85" s="315" t="inlineStr">
        <is>
          <t>Mpa</t>
        </is>
      </c>
      <c r="E85" s="322" t="n"/>
      <c r="F85" s="322" t="n"/>
      <c r="G85" s="322" t="n"/>
      <c r="H85" s="322" t="n"/>
      <c r="I85" s="322" t="n"/>
      <c r="J85" s="9" t="n"/>
      <c r="K85" s="9" t="n"/>
      <c r="L85" s="9" t="n"/>
      <c r="M85" s="9" t="n"/>
      <c r="N85" s="9" t="n"/>
      <c r="O85" s="9" t="n"/>
    </row>
    <row r="86">
      <c r="A86" s="679" t="n"/>
      <c r="B86" s="626" t="n"/>
      <c r="C86" s="318" t="inlineStr">
        <is>
          <t>異音、振動</t>
        </is>
      </c>
      <c r="D86" s="319" t="n"/>
      <c r="E86" s="324" t="n"/>
      <c r="F86" s="324" t="n"/>
      <c r="G86" s="324" t="n"/>
      <c r="H86" s="324" t="n"/>
      <c r="I86" s="324" t="n"/>
      <c r="J86" s="9" t="n"/>
      <c r="K86" s="9" t="n"/>
      <c r="L86" s="9" t="n"/>
      <c r="M86" s="9" t="n"/>
      <c r="N86" s="9" t="n"/>
      <c r="O86" s="9" t="n"/>
    </row>
    <row r="87">
      <c r="A87" s="679" t="n"/>
      <c r="B87" s="726" t="n">
        <v>2</v>
      </c>
      <c r="C87" s="310" t="inlineStr">
        <is>
          <t>電流値</t>
        </is>
      </c>
      <c r="D87" s="734" t="inlineStr">
        <is>
          <t>Ａ</t>
        </is>
      </c>
      <c r="E87" s="933" t="n"/>
      <c r="F87" s="933" t="n"/>
      <c r="G87" s="933" t="n"/>
      <c r="H87" s="933" t="n"/>
      <c r="I87" s="933" t="n"/>
      <c r="J87" s="9" t="n"/>
      <c r="K87" s="9" t="n"/>
      <c r="L87" s="9" t="n"/>
      <c r="M87" s="9" t="n"/>
      <c r="N87" s="9" t="n"/>
      <c r="O87" s="9" t="n"/>
    </row>
    <row r="88">
      <c r="A88" s="679" t="n"/>
      <c r="B88" s="679" t="n"/>
      <c r="C88" s="314" t="inlineStr">
        <is>
          <t>吐出圧力</t>
        </is>
      </c>
      <c r="D88" s="315" t="inlineStr">
        <is>
          <t>Mpa</t>
        </is>
      </c>
      <c r="E88" s="323" t="n"/>
      <c r="F88" s="323" t="n"/>
      <c r="G88" s="323" t="n"/>
      <c r="H88" s="323" t="n"/>
      <c r="I88" s="323" t="n"/>
      <c r="J88" s="9" t="n"/>
      <c r="K88" s="76" t="n"/>
      <c r="L88" s="9" t="n"/>
      <c r="M88" s="9" t="n"/>
      <c r="N88" s="9" t="n"/>
      <c r="O88" s="9" t="n"/>
    </row>
    <row r="89">
      <c r="A89" s="679" t="n"/>
      <c r="B89" s="626" t="n"/>
      <c r="C89" s="318">
        <f>C86</f>
        <v/>
      </c>
      <c r="D89" s="319" t="n"/>
      <c r="E89" s="325" t="n"/>
      <c r="F89" s="325" t="n"/>
      <c r="G89" s="325" t="n"/>
      <c r="H89" s="325" t="n"/>
      <c r="I89" s="325" t="n"/>
      <c r="J89" s="9" t="n"/>
      <c r="K89" s="9" t="n"/>
      <c r="L89" s="9" t="n"/>
      <c r="M89" s="9" t="n"/>
      <c r="N89" s="9" t="n"/>
      <c r="O89" s="9" t="n"/>
    </row>
    <row r="90">
      <c r="A90" s="679" t="n"/>
      <c r="B90" s="726" t="inlineStr">
        <is>
          <t>―</t>
        </is>
      </c>
      <c r="C90" s="310" t="inlineStr">
        <is>
          <t>モード確認</t>
        </is>
      </c>
      <c r="D90" s="734" t="n"/>
      <c r="E90" s="332" t="n"/>
      <c r="F90" s="333" t="n"/>
      <c r="G90" s="333" t="n"/>
      <c r="H90" s="333" t="n"/>
      <c r="I90" s="333" t="n"/>
      <c r="J90" s="9" t="n"/>
      <c r="K90" s="9" t="n"/>
      <c r="L90" s="9" t="n"/>
      <c r="M90" s="9" t="n"/>
      <c r="N90" s="9" t="n"/>
      <c r="O90" s="9" t="n"/>
    </row>
    <row r="91" ht="18" customHeight="1">
      <c r="A91" s="626" t="n"/>
      <c r="B91" s="626" t="n"/>
      <c r="C91" s="742" t="inlineStr">
        <is>
          <t>機種選択</t>
        </is>
      </c>
      <c r="D91" s="731" t="n"/>
      <c r="E91" s="324" t="n"/>
      <c r="F91" s="324" t="n"/>
      <c r="G91" s="324" t="n"/>
      <c r="H91" s="324" t="n"/>
      <c r="I91" s="324" t="n"/>
      <c r="J91" s="9" t="n"/>
      <c r="K91" s="9" t="n"/>
      <c r="L91" s="9" t="n"/>
      <c r="M91" s="9" t="n"/>
      <c r="N91" s="9" t="n"/>
      <c r="O91" s="9" t="n"/>
    </row>
    <row r="92">
      <c r="A92" s="741" t="inlineStr">
        <is>
          <t>濃縮汚泥引抜弁</t>
        </is>
      </c>
      <c r="B92" s="740" t="inlineStr">
        <is>
          <t>―</t>
        </is>
      </c>
      <c r="C92" s="330" t="inlineStr">
        <is>
          <t>電流値</t>
        </is>
      </c>
      <c r="D92" s="331" t="inlineStr">
        <is>
          <t>Ａ</t>
        </is>
      </c>
      <c r="E92" s="348" t="n"/>
      <c r="F92" s="349" t="n"/>
      <c r="G92" s="349" t="n"/>
      <c r="H92" s="349" t="n"/>
      <c r="I92" s="349" t="n"/>
      <c r="J92" s="9" t="n"/>
      <c r="K92" s="9" t="n"/>
      <c r="L92" s="9" t="n"/>
      <c r="M92" s="9" t="n"/>
      <c r="N92" s="9" t="n"/>
      <c r="O92" s="9" t="n"/>
    </row>
    <row r="93">
      <c r="A93" s="679" t="n"/>
      <c r="B93" s="679" t="n"/>
      <c r="C93" s="314" t="inlineStr">
        <is>
          <t>異音、振動</t>
        </is>
      </c>
      <c r="D93" s="315" t="n"/>
      <c r="E93" s="316" t="n"/>
      <c r="F93" s="317" t="n"/>
      <c r="G93" s="317" t="n"/>
      <c r="H93" s="317" t="n"/>
      <c r="I93" s="317" t="n"/>
      <c r="J93" s="9" t="n"/>
      <c r="K93" s="9" t="n"/>
      <c r="L93" s="9" t="n"/>
      <c r="M93" s="9" t="n"/>
      <c r="N93" s="9" t="n"/>
      <c r="O93" s="9" t="n"/>
    </row>
    <row r="94">
      <c r="A94" s="679" t="n"/>
      <c r="B94" s="679" t="n"/>
      <c r="C94" s="330" t="inlineStr">
        <is>
          <t>動作状況</t>
        </is>
      </c>
      <c r="D94" s="331" t="n"/>
      <c r="E94" s="328" t="n"/>
      <c r="F94" s="329" t="n"/>
      <c r="G94" s="329" t="n"/>
      <c r="H94" s="329" t="n"/>
      <c r="I94" s="329" t="n"/>
      <c r="J94" s="9" t="n"/>
      <c r="K94" s="9" t="n"/>
      <c r="L94" s="9" t="n"/>
      <c r="M94" s="9" t="n"/>
      <c r="N94" s="9" t="n"/>
      <c r="O94" s="9" t="n"/>
    </row>
    <row r="95" ht="18" customHeight="1">
      <c r="A95" s="626" t="n"/>
      <c r="B95" s="679" t="n"/>
      <c r="C95" s="742" t="inlineStr">
        <is>
          <t>モード確認</t>
        </is>
      </c>
      <c r="D95" s="731" t="n"/>
      <c r="E95" s="324" t="n"/>
      <c r="F95" s="325" t="n"/>
      <c r="G95" s="325" t="n"/>
      <c r="H95" s="325" t="n"/>
      <c r="I95" s="325" t="n"/>
      <c r="J95" s="9" t="n"/>
      <c r="K95" s="9" t="n"/>
      <c r="L95" s="76" t="n"/>
      <c r="M95" s="76" t="n"/>
      <c r="N95" s="9" t="n"/>
      <c r="O95" s="9" t="n"/>
    </row>
    <row r="96">
      <c r="A96" s="727" t="inlineStr">
        <is>
          <t>汚泥ポンプ室　　　　　床排水ポンプ</t>
        </is>
      </c>
      <c r="B96" s="726" t="inlineStr">
        <is>
          <t>―</t>
        </is>
      </c>
      <c r="C96" s="341" t="inlineStr">
        <is>
          <t>電流値</t>
        </is>
      </c>
      <c r="D96" s="342" t="inlineStr">
        <is>
          <t>Ａ</t>
        </is>
      </c>
      <c r="E96" s="934" t="n"/>
      <c r="F96" s="935" t="n"/>
      <c r="G96" s="935" t="n"/>
      <c r="H96" s="935" t="n"/>
      <c r="I96" s="935" t="n"/>
      <c r="J96" s="9" t="n"/>
      <c r="K96" s="9" t="n"/>
      <c r="L96" s="9" t="n"/>
      <c r="M96" s="9" t="n"/>
      <c r="N96" s="9" t="n"/>
      <c r="O96" s="9" t="n"/>
    </row>
    <row r="97">
      <c r="A97" s="679" t="n"/>
      <c r="B97" s="679" t="n"/>
      <c r="C97" s="330" t="inlineStr">
        <is>
          <t>吐出圧力</t>
        </is>
      </c>
      <c r="D97" s="331" t="inlineStr">
        <is>
          <t>Mpa</t>
        </is>
      </c>
      <c r="E97" s="328" t="n"/>
      <c r="F97" s="329" t="n"/>
      <c r="G97" s="329" t="n"/>
      <c r="H97" s="329" t="n"/>
      <c r="I97" s="329" t="n"/>
      <c r="J97" s="9" t="n"/>
      <c r="K97" s="76" t="n"/>
      <c r="L97" s="9" t="n"/>
      <c r="M97" s="9" t="n"/>
      <c r="N97" s="9" t="n"/>
      <c r="O97" s="9" t="n"/>
    </row>
    <row r="98">
      <c r="A98" s="679" t="n"/>
      <c r="B98" s="679" t="n"/>
      <c r="C98" s="314">
        <f>C89</f>
        <v/>
      </c>
      <c r="D98" s="315" t="n"/>
      <c r="E98" s="316" t="n"/>
      <c r="F98" s="317" t="n"/>
      <c r="G98" s="317" t="n"/>
      <c r="H98" s="317" t="n"/>
      <c r="I98" s="317" t="n"/>
      <c r="J98" s="9" t="n"/>
      <c r="K98" s="9" t="n"/>
      <c r="L98" s="9" t="n"/>
      <c r="M98" s="9" t="n"/>
      <c r="N98" s="9" t="n"/>
      <c r="O98" s="9" t="n"/>
    </row>
    <row r="99">
      <c r="A99" s="626" t="n"/>
      <c r="B99" s="626" t="n"/>
      <c r="C99" s="318" t="inlineStr">
        <is>
          <t>モード確認</t>
        </is>
      </c>
      <c r="D99" s="319" t="n"/>
      <c r="E99" s="324" t="n"/>
      <c r="F99" s="325" t="n"/>
      <c r="G99" s="325" t="n"/>
      <c r="H99" s="325" t="n"/>
      <c r="I99" s="325" t="n"/>
      <c r="J99" s="9" t="n"/>
      <c r="K99" s="9" t="n"/>
      <c r="L99" s="9" t="n"/>
      <c r="M99" s="9" t="n"/>
      <c r="N99" s="9" t="n"/>
      <c r="O99" s="9" t="n"/>
    </row>
    <row r="100">
      <c r="A100" s="756" t="inlineStr">
        <is>
          <t>濃縮汚泥掻寄機</t>
        </is>
      </c>
      <c r="B100" s="726" t="n"/>
      <c r="C100" s="341" t="inlineStr">
        <is>
          <t>電流値</t>
        </is>
      </c>
      <c r="D100" s="342" t="inlineStr">
        <is>
          <t>Ａ</t>
        </is>
      </c>
      <c r="E100" s="338" t="n"/>
      <c r="F100" s="339" t="n"/>
      <c r="G100" s="339" t="n"/>
      <c r="H100" s="339" t="n"/>
      <c r="I100" s="339" t="n"/>
      <c r="J100" s="9" t="n"/>
      <c r="K100" s="9" t="n"/>
      <c r="L100" s="9" t="n"/>
      <c r="M100" s="9" t="n"/>
      <c r="N100" s="9" t="n"/>
      <c r="O100" s="9" t="n"/>
    </row>
    <row r="101">
      <c r="A101" s="626" t="n"/>
      <c r="B101" s="626" t="n"/>
      <c r="C101" s="318" t="inlineStr">
        <is>
          <t>異音、振動</t>
        </is>
      </c>
      <c r="D101" s="319" t="n"/>
      <c r="E101" s="328" t="n"/>
      <c r="F101" s="329" t="n"/>
      <c r="G101" s="329" t="n"/>
      <c r="H101" s="329" t="n"/>
      <c r="I101" s="329" t="n"/>
      <c r="J101" s="9" t="n"/>
      <c r="K101" s="9" t="n"/>
      <c r="L101" s="9" t="n"/>
      <c r="M101" s="9" t="n"/>
      <c r="N101" s="9" t="n"/>
      <c r="O101" s="9" t="n"/>
    </row>
    <row r="102">
      <c r="A102" s="729" t="inlineStr">
        <is>
          <t>スカムスキマー</t>
        </is>
      </c>
      <c r="B102" s="726" t="n"/>
      <c r="C102" s="306" t="inlineStr">
        <is>
          <t>動作状況</t>
        </is>
      </c>
      <c r="D102" s="307" t="n"/>
      <c r="E102" s="308" t="n"/>
      <c r="F102" s="309" t="n"/>
      <c r="G102" s="309" t="n"/>
      <c r="H102" s="309" t="n"/>
      <c r="I102" s="309" t="n"/>
      <c r="J102" s="9" t="n"/>
      <c r="K102" s="9" t="n"/>
      <c r="L102" s="9" t="n"/>
      <c r="M102" s="9" t="n"/>
      <c r="N102" s="9" t="n"/>
      <c r="O102" s="9" t="n"/>
    </row>
    <row r="103">
      <c r="A103" s="741" t="inlineStr">
        <is>
          <t>汚泥供給ポンプ</t>
        </is>
      </c>
      <c r="B103" s="726" t="n">
        <v>1</v>
      </c>
      <c r="C103" s="310">
        <f>C97</f>
        <v/>
      </c>
      <c r="D103" s="734">
        <f>D97</f>
        <v/>
      </c>
      <c r="E103" s="332" t="n"/>
      <c r="F103" s="333" t="n"/>
      <c r="G103" s="333" t="n"/>
      <c r="H103" s="333" t="n"/>
      <c r="I103" s="333" t="n"/>
      <c r="J103" s="9" t="n"/>
      <c r="K103" s="9" t="n"/>
      <c r="L103" s="9" t="n"/>
      <c r="M103" s="9" t="n"/>
      <c r="N103" s="9" t="n"/>
      <c r="O103" s="9" t="n"/>
    </row>
    <row r="104">
      <c r="A104" s="679" t="n"/>
      <c r="B104" s="679" t="n"/>
      <c r="C104" s="314" t="inlineStr">
        <is>
          <t>異音、振動</t>
        </is>
      </c>
      <c r="D104" s="315" t="n"/>
      <c r="E104" s="316" t="n"/>
      <c r="F104" s="317" t="n"/>
      <c r="G104" s="317" t="n"/>
      <c r="H104" s="317" t="n"/>
      <c r="I104" s="317" t="n"/>
      <c r="J104" s="9" t="n"/>
      <c r="K104" s="9" t="n"/>
      <c r="L104" s="9" t="n"/>
      <c r="M104" s="9" t="n"/>
      <c r="N104" s="9" t="n"/>
      <c r="O104" s="9" t="n"/>
    </row>
    <row r="105">
      <c r="A105" s="679" t="n"/>
      <c r="B105" s="626" t="n"/>
      <c r="C105" s="318">
        <f>C72</f>
        <v/>
      </c>
      <c r="D105" s="319" t="n"/>
      <c r="E105" s="328" t="n"/>
      <c r="F105" s="329" t="n"/>
      <c r="G105" s="329" t="n"/>
      <c r="H105" s="329" t="n"/>
      <c r="I105" s="329" t="n"/>
      <c r="J105" s="9" t="n"/>
      <c r="K105" s="9" t="n"/>
      <c r="L105" s="9" t="n"/>
      <c r="M105" s="9" t="n"/>
      <c r="N105" s="9" t="n"/>
      <c r="O105" s="9" t="n"/>
    </row>
    <row r="106">
      <c r="A106" s="679" t="n"/>
      <c r="B106" s="726" t="n">
        <v>2</v>
      </c>
      <c r="C106" s="310">
        <f>C103</f>
        <v/>
      </c>
      <c r="D106" s="734">
        <f>D103</f>
        <v/>
      </c>
      <c r="E106" s="332" t="n"/>
      <c r="F106" s="333" t="n"/>
      <c r="G106" s="333" t="n"/>
      <c r="H106" s="333" t="n"/>
      <c r="I106" s="333" t="n"/>
      <c r="J106" s="9" t="n"/>
      <c r="K106" s="9" t="n"/>
      <c r="L106" s="9" t="n"/>
      <c r="M106" s="9" t="n"/>
      <c r="N106" s="9" t="n"/>
      <c r="O106" s="9" t="n"/>
    </row>
    <row r="107">
      <c r="A107" s="679" t="n"/>
      <c r="B107" s="679" t="n"/>
      <c r="C107" s="314">
        <f>C104</f>
        <v/>
      </c>
      <c r="D107" s="315" t="n"/>
      <c r="E107" s="316" t="n"/>
      <c r="F107" s="317" t="n"/>
      <c r="G107" s="317" t="n"/>
      <c r="H107" s="317" t="n"/>
      <c r="I107" s="317" t="n"/>
      <c r="J107" s="9" t="n"/>
      <c r="K107" s="9" t="n"/>
      <c r="L107" s="9" t="n"/>
      <c r="M107" s="9" t="n"/>
      <c r="N107" s="9" t="n"/>
      <c r="O107" s="9" t="n"/>
    </row>
    <row r="108">
      <c r="A108" s="626" t="n"/>
      <c r="B108" s="626" t="n"/>
      <c r="C108" s="318">
        <f>C105</f>
        <v/>
      </c>
      <c r="D108" s="319" t="n"/>
      <c r="E108" s="328" t="n"/>
      <c r="F108" s="329" t="n"/>
      <c r="G108" s="329" t="n"/>
      <c r="H108" s="329" t="n"/>
      <c r="I108" s="329" t="n"/>
      <c r="J108" s="9" t="n"/>
      <c r="K108" s="9" t="n"/>
      <c r="L108" s="9" t="n"/>
      <c r="M108" s="9" t="n"/>
      <c r="N108" s="9" t="n"/>
      <c r="O108" s="9" t="n"/>
    </row>
    <row r="109">
      <c r="A109" s="741" t="inlineStr">
        <is>
          <t>汚泥貯留槽攪拌機</t>
        </is>
      </c>
      <c r="B109" s="726" t="inlineStr">
        <is>
          <t>―</t>
        </is>
      </c>
      <c r="C109" s="310" t="inlineStr">
        <is>
          <t>電流値</t>
        </is>
      </c>
      <c r="D109" s="734" t="inlineStr">
        <is>
          <t>Ａ</t>
        </is>
      </c>
      <c r="E109" s="332" t="n"/>
      <c r="F109" s="333" t="n"/>
      <c r="G109" s="333" t="n"/>
      <c r="H109" s="350" t="n"/>
      <c r="I109" s="350" t="n"/>
      <c r="J109" s="9" t="n"/>
      <c r="K109" s="9" t="n"/>
      <c r="L109" s="9" t="n"/>
      <c r="M109" s="9" t="n"/>
      <c r="N109" s="9" t="n"/>
      <c r="O109" s="9" t="n"/>
    </row>
    <row r="110">
      <c r="A110" s="679" t="n"/>
      <c r="B110" s="679" t="n"/>
      <c r="C110" s="314">
        <f>C107</f>
        <v/>
      </c>
      <c r="D110" s="315" t="n"/>
      <c r="E110" s="316" t="n"/>
      <c r="F110" s="317" t="n"/>
      <c r="G110" s="317" t="n"/>
      <c r="H110" s="351" t="n"/>
      <c r="I110" s="351" t="n"/>
      <c r="J110" s="9" t="n"/>
      <c r="K110" s="9" t="n"/>
      <c r="L110" s="9" t="n"/>
      <c r="M110" s="9" t="n"/>
      <c r="N110" s="9" t="n"/>
      <c r="O110" s="9" t="n"/>
    </row>
    <row r="111">
      <c r="A111" s="626" t="n"/>
      <c r="B111" s="626" t="n"/>
      <c r="C111" s="318" t="inlineStr">
        <is>
          <t>モード確認</t>
        </is>
      </c>
      <c r="D111" s="319" t="n"/>
      <c r="E111" s="328" t="n"/>
      <c r="F111" s="329" t="n"/>
      <c r="G111" s="329" t="n"/>
      <c r="H111" s="352" t="n"/>
      <c r="I111" s="352" t="n"/>
      <c r="J111" s="9" t="n"/>
      <c r="K111" s="9" t="n"/>
      <c r="L111" s="9" t="n"/>
      <c r="M111" s="9" t="n"/>
      <c r="N111" s="9" t="n"/>
      <c r="O111" s="9" t="n"/>
    </row>
    <row r="112">
      <c r="A112" s="741" t="inlineStr">
        <is>
          <t>空気圧縮機</t>
        </is>
      </c>
      <c r="B112" s="726" t="inlineStr">
        <is>
          <t>―</t>
        </is>
      </c>
      <c r="C112" s="310" t="inlineStr">
        <is>
          <t>異音、振動等</t>
        </is>
      </c>
      <c r="D112" s="734" t="n"/>
      <c r="E112" s="326" t="n"/>
      <c r="F112" s="327" t="n"/>
      <c r="G112" s="327" t="n"/>
      <c r="H112" s="327" t="n"/>
      <c r="I112" s="327" t="n"/>
      <c r="J112" s="9" t="n"/>
      <c r="K112" s="9" t="n"/>
      <c r="L112" s="9" t="n"/>
      <c r="M112" s="9" t="n"/>
      <c r="N112" s="9" t="n"/>
      <c r="O112" s="9" t="n"/>
    </row>
    <row r="113">
      <c r="A113" s="626" t="n"/>
      <c r="B113" s="626" t="n"/>
      <c r="C113" s="334" t="inlineStr">
        <is>
          <t>安全弁等の動作確認</t>
        </is>
      </c>
      <c r="D113" s="335" t="n"/>
      <c r="E113" s="324" t="n"/>
      <c r="F113" s="325" t="n"/>
      <c r="G113" s="325" t="n"/>
      <c r="H113" s="325" t="n"/>
      <c r="I113" s="325" t="n"/>
      <c r="J113" s="9" t="n"/>
      <c r="K113" s="9" t="n"/>
      <c r="L113" s="9" t="n"/>
      <c r="M113" s="9" t="n"/>
      <c r="N113" s="9" t="n"/>
      <c r="O113" s="9" t="n"/>
    </row>
    <row r="114" ht="18" customHeight="1">
      <c r="A114" s="747" t="inlineStr">
        <is>
          <t xml:space="preserve">　○：良　　△：要注意　　×：要修理</t>
        </is>
      </c>
      <c r="B114" s="586" t="n"/>
      <c r="C114" s="586" t="n"/>
      <c r="D114" s="586" t="n"/>
      <c r="E114" s="586" t="n"/>
      <c r="F114" s="586" t="n"/>
      <c r="G114" s="586" t="n"/>
      <c r="H114" s="586" t="n"/>
      <c r="I114" s="586" t="n"/>
      <c r="J114" s="9" t="n"/>
      <c r="K114" s="9" t="n"/>
      <c r="L114" s="9" t="n"/>
      <c r="M114" s="9" t="n"/>
      <c r="N114" s="9" t="n"/>
      <c r="O114" s="9" t="n"/>
    </row>
    <row r="115">
      <c r="A115" s="353" t="n"/>
      <c r="B115" s="354" t="n"/>
      <c r="C115" s="353" t="n"/>
      <c r="D115" s="355" t="n"/>
      <c r="E115" s="356" t="n"/>
      <c r="F115" s="356" t="n"/>
      <c r="G115" s="356" t="n"/>
      <c r="H115" s="356" t="n"/>
      <c r="I115" s="356" t="n"/>
      <c r="J115" s="9" t="n"/>
      <c r="K115" s="9" t="n"/>
      <c r="L115" s="9" t="n"/>
      <c r="M115" s="9" t="n"/>
      <c r="N115" s="9" t="n"/>
      <c r="O115" s="9" t="n"/>
    </row>
    <row r="116">
      <c r="A116" s="357" t="n"/>
      <c r="B116" s="355" t="n"/>
      <c r="C116" s="357" t="n"/>
      <c r="D116" s="355" t="n"/>
      <c r="E116" s="356" t="n"/>
      <c r="F116" s="356" t="n"/>
      <c r="G116" s="356" t="n"/>
      <c r="H116" s="356" t="n"/>
      <c r="I116" s="356" t="n"/>
      <c r="J116" s="9" t="n"/>
      <c r="K116" s="9" t="n"/>
      <c r="L116" s="9" t="n"/>
      <c r="M116" s="9" t="n"/>
      <c r="N116" s="9" t="n"/>
      <c r="O116" s="9" t="n"/>
    </row>
    <row r="117" ht="22" customHeight="1">
      <c r="A117" s="299" t="inlineStr">
        <is>
          <t>機械設備日常点検表（３/３）</t>
        </is>
      </c>
      <c r="B117" s="594" t="n"/>
      <c r="C117" s="300" t="n"/>
      <c r="D117" s="594" t="n"/>
      <c r="E117" s="594" t="n"/>
      <c r="F117" s="594" t="n"/>
      <c r="G117" s="594" t="n"/>
      <c r="H117" s="300">
        <f>H1</f>
        <v/>
      </c>
      <c r="I117" s="594" t="n"/>
      <c r="J117" s="9" t="n"/>
      <c r="K117" s="9" t="n"/>
      <c r="L117" s="9" t="n"/>
      <c r="M117" s="9" t="n"/>
      <c r="N117" s="9" t="n"/>
      <c r="O117" s="9" t="n"/>
    </row>
    <row r="118" ht="18" customHeight="1">
      <c r="A118" s="726" t="inlineStr">
        <is>
          <t>機　器　名</t>
        </is>
      </c>
      <c r="B118" s="726" t="inlineStr">
        <is>
          <t>No</t>
        </is>
      </c>
      <c r="C118" s="726" t="inlineStr">
        <is>
          <t>点 検 者</t>
        </is>
      </c>
      <c r="D118" s="580" t="n"/>
      <c r="E118" s="302">
        <f>E2</f>
        <v/>
      </c>
      <c r="F118" s="726">
        <f>F2</f>
        <v/>
      </c>
      <c r="G118" s="726">
        <f>G2</f>
        <v/>
      </c>
      <c r="H118" s="726">
        <f>H2</f>
        <v/>
      </c>
      <c r="I118" s="726">
        <f>I2</f>
        <v/>
      </c>
      <c r="J118" s="9" t="n"/>
      <c r="K118" s="9" t="n"/>
      <c r="L118" s="9" t="n"/>
      <c r="M118" s="9" t="n"/>
      <c r="N118" s="9" t="n"/>
      <c r="O118" s="9" t="n"/>
    </row>
    <row r="119" ht="18" customHeight="1">
      <c r="A119" s="626" t="n"/>
      <c r="B119" s="626" t="n"/>
      <c r="C119" s="726" t="inlineStr">
        <is>
          <t>点検内容</t>
        </is>
      </c>
      <c r="D119" s="580" t="n"/>
      <c r="E119" s="930">
        <f>E3</f>
        <v/>
      </c>
      <c r="F119" s="931">
        <f>F3</f>
        <v/>
      </c>
      <c r="G119" s="931">
        <f>G3</f>
        <v/>
      </c>
      <c r="H119" s="931">
        <f>H3</f>
        <v/>
      </c>
      <c r="I119" s="931">
        <f>I3</f>
        <v/>
      </c>
      <c r="J119" s="9" t="n"/>
      <c r="K119" s="9" t="n"/>
      <c r="L119" s="9" t="n"/>
      <c r="M119" s="9" t="n"/>
      <c r="N119" s="9" t="n"/>
      <c r="O119" s="9" t="n"/>
    </row>
    <row r="120" ht="15" customHeight="1">
      <c r="A120" s="358" t="inlineStr">
        <is>
          <t>井水揚水ポンプ</t>
        </is>
      </c>
      <c r="B120" s="336" t="inlineStr">
        <is>
          <t>―</t>
        </is>
      </c>
      <c r="C120" s="330" t="inlineStr">
        <is>
          <t>異音、振動等</t>
        </is>
      </c>
      <c r="D120" s="331" t="n"/>
      <c r="E120" s="316" t="n"/>
      <c r="F120" s="317" t="n"/>
      <c r="G120" s="317" t="n"/>
      <c r="H120" s="317" t="n"/>
      <c r="I120" s="317" t="n"/>
      <c r="J120" s="9" t="n"/>
      <c r="K120" s="9" t="n"/>
      <c r="L120" s="9" t="n"/>
      <c r="M120" s="9" t="n"/>
      <c r="N120" s="9" t="n"/>
      <c r="O120" s="9" t="n"/>
    </row>
    <row r="121">
      <c r="A121" s="727" t="inlineStr">
        <is>
          <t>自動給水装置</t>
        </is>
      </c>
      <c r="B121" s="726" t="n">
        <v>1</v>
      </c>
      <c r="C121" s="310" t="inlineStr">
        <is>
          <t>電流値</t>
        </is>
      </c>
      <c r="D121" s="734" t="inlineStr">
        <is>
          <t>Ａ</t>
        </is>
      </c>
      <c r="E121" s="932" t="n"/>
      <c r="F121" s="933" t="n"/>
      <c r="G121" s="933" t="n"/>
      <c r="H121" s="933" t="n"/>
      <c r="I121" s="933" t="n"/>
      <c r="J121" s="9" t="n"/>
      <c r="K121" s="9" t="n"/>
      <c r="L121" s="9" t="n"/>
      <c r="M121" s="9" t="n"/>
      <c r="N121" s="9" t="n"/>
      <c r="O121" s="9" t="n"/>
    </row>
    <row r="122">
      <c r="A122" s="679" t="n"/>
      <c r="B122" s="626" t="n"/>
      <c r="C122" s="334" t="inlineStr">
        <is>
          <t>異音、振動等</t>
        </is>
      </c>
      <c r="D122" s="335" t="n"/>
      <c r="E122" s="324" t="n"/>
      <c r="F122" s="325" t="n"/>
      <c r="G122" s="325" t="n"/>
      <c r="H122" s="325" t="n"/>
      <c r="I122" s="325" t="n"/>
      <c r="J122" s="9" t="n"/>
      <c r="K122" s="9" t="n"/>
      <c r="L122" s="9" t="n"/>
      <c r="M122" s="9" t="n"/>
      <c r="N122" s="9" t="n"/>
      <c r="O122" s="9" t="n"/>
    </row>
    <row r="123">
      <c r="A123" s="679" t="n"/>
      <c r="B123" s="726" t="n">
        <v>2</v>
      </c>
      <c r="C123" s="310" t="inlineStr">
        <is>
          <t>電流値</t>
        </is>
      </c>
      <c r="D123" s="734" t="inlineStr">
        <is>
          <t>Ａ</t>
        </is>
      </c>
      <c r="E123" s="932" t="n"/>
      <c r="F123" s="933" t="n"/>
      <c r="G123" s="933" t="n"/>
      <c r="H123" s="933" t="n"/>
      <c r="I123" s="933" t="n"/>
      <c r="J123" s="9" t="n"/>
      <c r="K123" s="9" t="n"/>
      <c r="L123" s="9" t="n"/>
      <c r="M123" s="9" t="n"/>
      <c r="N123" s="9" t="n"/>
      <c r="O123" s="9" t="n"/>
    </row>
    <row r="124">
      <c r="A124" s="679" t="n"/>
      <c r="B124" s="626" t="n"/>
      <c r="C124" s="334" t="inlineStr">
        <is>
          <t>異音、振動等</t>
        </is>
      </c>
      <c r="D124" s="335" t="n"/>
      <c r="E124" s="324" t="n"/>
      <c r="F124" s="325" t="n"/>
      <c r="G124" s="325" t="n"/>
      <c r="H124" s="325" t="n"/>
      <c r="I124" s="325" t="n"/>
      <c r="J124" s="9" t="n"/>
      <c r="K124" s="9" t="n"/>
      <c r="L124" s="9" t="n"/>
      <c r="M124" s="9" t="n"/>
      <c r="N124" s="9" t="n"/>
      <c r="O124" s="9" t="n"/>
    </row>
    <row r="125">
      <c r="A125" s="626" t="n"/>
      <c r="B125" s="336" t="inlineStr">
        <is>
          <t>―</t>
        </is>
      </c>
      <c r="C125" s="310" t="inlineStr">
        <is>
          <t>モード確認</t>
        </is>
      </c>
      <c r="D125" s="734" t="n"/>
      <c r="E125" s="308" t="n"/>
      <c r="F125" s="309" t="n"/>
      <c r="G125" s="309" t="n"/>
      <c r="H125" s="309" t="n"/>
      <c r="I125" s="309" t="n"/>
      <c r="J125" s="9" t="n"/>
      <c r="K125" s="9" t="n"/>
      <c r="L125" s="9" t="n"/>
      <c r="M125" s="9" t="n"/>
      <c r="N125" s="9" t="n"/>
      <c r="O125" s="9" t="n"/>
    </row>
    <row r="126">
      <c r="A126" s="729" t="inlineStr">
        <is>
          <t>井水貯留槽</t>
        </is>
      </c>
      <c r="B126" s="726" t="inlineStr">
        <is>
          <t>―</t>
        </is>
      </c>
      <c r="C126" s="306" t="inlineStr">
        <is>
          <t>水漏れ</t>
        </is>
      </c>
      <c r="D126" s="307" t="n"/>
      <c r="E126" s="328" t="n"/>
      <c r="F126" s="329" t="n"/>
      <c r="G126" s="329" t="n"/>
      <c r="H126" s="329" t="n"/>
      <c r="I126" s="329" t="n"/>
      <c r="J126" s="9" t="n"/>
      <c r="K126" s="9" t="n"/>
      <c r="L126" s="9" t="n"/>
      <c r="M126" s="9" t="n"/>
      <c r="N126" s="9" t="n"/>
      <c r="O126" s="9" t="n"/>
    </row>
    <row r="127" ht="18" customHeight="1">
      <c r="A127" s="729" t="inlineStr">
        <is>
          <t>混和池ＢＧ</t>
        </is>
      </c>
      <c r="B127" s="726" t="inlineStr">
        <is>
          <t>―</t>
        </is>
      </c>
      <c r="C127" s="729" t="inlineStr">
        <is>
          <t>開閉</t>
        </is>
      </c>
      <c r="D127" s="580" t="n"/>
      <c r="E127" s="308" t="n"/>
      <c r="F127" s="309" t="n"/>
      <c r="G127" s="309" t="n"/>
      <c r="H127" s="309" t="n"/>
      <c r="I127" s="309" t="n"/>
      <c r="J127" s="9" t="n"/>
      <c r="K127" s="76" t="n"/>
      <c r="L127" s="76" t="n"/>
      <c r="M127" s="9" t="n"/>
      <c r="N127" s="9" t="n"/>
      <c r="O127" s="9" t="n"/>
    </row>
    <row r="128">
      <c r="A128" s="359" t="inlineStr">
        <is>
          <t>塩素接触装置</t>
        </is>
      </c>
      <c r="B128" s="726" t="inlineStr">
        <is>
          <t>―</t>
        </is>
      </c>
      <c r="C128" s="306" t="inlineStr">
        <is>
          <t>薬剤残量確認</t>
        </is>
      </c>
      <c r="D128" s="307" t="n"/>
      <c r="E128" s="322" t="n"/>
      <c r="F128" s="323" t="n"/>
      <c r="G128" s="323" t="n"/>
      <c r="H128" s="323" t="n"/>
      <c r="I128" s="323" t="n"/>
      <c r="J128" s="9" t="n"/>
      <c r="K128" s="9" t="n"/>
      <c r="L128" s="9" t="n"/>
      <c r="M128" s="9" t="n"/>
      <c r="N128" s="9" t="n"/>
      <c r="O128" s="9" t="n"/>
    </row>
    <row r="129" ht="18" customHeight="1">
      <c r="A129" s="727" t="inlineStr">
        <is>
          <t>臭気ガス吸引装置</t>
        </is>
      </c>
      <c r="B129" s="733" t="inlineStr">
        <is>
          <t>―</t>
        </is>
      </c>
      <c r="C129" s="735" t="inlineStr">
        <is>
          <t>ボルト・ナットの緩み</t>
        </is>
      </c>
      <c r="D129" s="736" t="n"/>
      <c r="E129" s="326" t="n"/>
      <c r="F129" s="327" t="n"/>
      <c r="G129" s="327" t="n"/>
      <c r="H129" s="327" t="n"/>
      <c r="I129" s="327" t="n"/>
      <c r="J129" s="9" t="n"/>
      <c r="K129" s="9" t="n"/>
      <c r="L129" s="9" t="n"/>
      <c r="M129" s="9" t="n"/>
      <c r="N129" s="9" t="n"/>
      <c r="O129" s="9" t="n"/>
    </row>
    <row r="130" ht="18" customHeight="1">
      <c r="A130" s="626" t="n"/>
      <c r="B130" s="626" t="n"/>
      <c r="C130" s="732" t="inlineStr">
        <is>
          <t>モード確認</t>
        </is>
      </c>
      <c r="D130" s="591" t="n"/>
      <c r="E130" s="328" t="n"/>
      <c r="F130" s="329" t="n"/>
      <c r="G130" s="329" t="n"/>
      <c r="H130" s="329" t="n"/>
      <c r="I130" s="329" t="n"/>
      <c r="J130" s="9" t="n"/>
      <c r="K130" s="76" t="n"/>
      <c r="L130" s="76" t="n"/>
      <c r="M130" s="76" t="n"/>
      <c r="N130" s="9" t="n"/>
      <c r="O130" s="9" t="n"/>
    </row>
    <row r="131" ht="18" customHeight="1">
      <c r="A131" s="729" t="inlineStr">
        <is>
          <t>吸着脱装置</t>
        </is>
      </c>
      <c r="B131" s="726" t="inlineStr">
        <is>
          <t>―</t>
        </is>
      </c>
      <c r="C131" s="751" t="inlineStr">
        <is>
          <t>マノメータ等の作動確認</t>
        </is>
      </c>
      <c r="D131" s="746" t="n"/>
      <c r="E131" s="332" t="n"/>
      <c r="F131" s="333" t="n"/>
      <c r="G131" s="333" t="n"/>
      <c r="H131" s="333" t="n"/>
      <c r="I131" s="333" t="n"/>
      <c r="J131" s="9" t="n"/>
      <c r="K131" s="9" t="n"/>
      <c r="L131" s="9" t="n"/>
      <c r="M131" s="9" t="n"/>
      <c r="N131" s="9" t="n"/>
      <c r="O131" s="9" t="n"/>
    </row>
    <row r="132" ht="18" customHeight="1">
      <c r="A132" s="626" t="n"/>
      <c r="B132" s="626" t="n"/>
      <c r="C132" s="730">
        <f>C129</f>
        <v/>
      </c>
      <c r="D132" s="731" t="n"/>
      <c r="E132" s="324" t="n"/>
      <c r="F132" s="325" t="n"/>
      <c r="G132" s="325" t="n"/>
      <c r="H132" s="325" t="n"/>
      <c r="I132" s="325" t="n"/>
      <c r="J132" s="9" t="n"/>
      <c r="K132" s="76" t="n"/>
      <c r="L132" s="76" t="n"/>
      <c r="M132" s="76" t="n"/>
      <c r="N132" s="9" t="n"/>
      <c r="O132" s="9" t="n"/>
    </row>
    <row r="133">
      <c r="A133" s="741" t="inlineStr">
        <is>
          <t>電気室給気ファン</t>
        </is>
      </c>
      <c r="B133" s="726" t="inlineStr">
        <is>
          <t>―</t>
        </is>
      </c>
      <c r="C133" s="360" t="inlineStr">
        <is>
          <t>電流値</t>
        </is>
      </c>
      <c r="D133" s="734" t="inlineStr">
        <is>
          <t>Ａ</t>
        </is>
      </c>
      <c r="E133" s="932" t="n"/>
      <c r="F133" s="933" t="n"/>
      <c r="G133" s="933" t="n"/>
      <c r="H133" s="933" t="n"/>
      <c r="I133" s="933" t="n"/>
      <c r="J133" s="9" t="n"/>
      <c r="K133" s="9" t="n"/>
      <c r="L133" s="9" t="n"/>
      <c r="M133" s="9" t="n"/>
      <c r="N133" s="9" t="n"/>
      <c r="O133" s="9" t="n"/>
    </row>
    <row r="134" ht="18" customHeight="1">
      <c r="A134" s="679" t="n"/>
      <c r="B134" s="679" t="n"/>
      <c r="C134" s="735" t="inlineStr">
        <is>
          <t>異音、振動等</t>
        </is>
      </c>
      <c r="D134" s="736" t="n"/>
      <c r="E134" s="316" t="n"/>
      <c r="F134" s="317" t="n"/>
      <c r="G134" s="317" t="n"/>
      <c r="H134" s="317" t="n"/>
      <c r="I134" s="317" t="n"/>
      <c r="J134" s="9" t="n"/>
      <c r="K134" s="9" t="n"/>
      <c r="L134" s="9" t="n"/>
      <c r="M134" s="9" t="n"/>
      <c r="N134" s="9" t="n"/>
      <c r="O134" s="9" t="n"/>
    </row>
    <row r="135" ht="18" customHeight="1">
      <c r="A135" s="626" t="n"/>
      <c r="B135" s="626" t="n"/>
      <c r="C135" s="732" t="inlineStr">
        <is>
          <t>モード確認</t>
        </is>
      </c>
      <c r="D135" s="591" t="n"/>
      <c r="E135" s="320" t="n"/>
      <c r="F135" s="321" t="n"/>
      <c r="G135" s="321" t="n"/>
      <c r="H135" s="321" t="n"/>
      <c r="I135" s="321" t="n"/>
      <c r="J135" s="9" t="n"/>
      <c r="K135" s="9" t="n"/>
      <c r="L135" s="9" t="n"/>
      <c r="M135" s="9" t="n"/>
      <c r="N135" s="9" t="n"/>
      <c r="O135" s="9" t="n"/>
    </row>
    <row r="136">
      <c r="A136" s="741" t="inlineStr">
        <is>
          <t>電気室排気ファン</t>
        </is>
      </c>
      <c r="B136" s="726" t="inlineStr">
        <is>
          <t>―</t>
        </is>
      </c>
      <c r="C136" s="360" t="inlineStr">
        <is>
          <t>電流値</t>
        </is>
      </c>
      <c r="D136" s="734" t="inlineStr">
        <is>
          <t>Ａ</t>
        </is>
      </c>
      <c r="E136" s="932" t="n"/>
      <c r="F136" s="933" t="n"/>
      <c r="G136" s="933" t="n"/>
      <c r="H136" s="933" t="n"/>
      <c r="I136" s="933" t="n"/>
      <c r="J136" s="9" t="n"/>
      <c r="K136" s="9" t="n"/>
      <c r="L136" s="9" t="n"/>
      <c r="M136" s="9" t="n"/>
      <c r="N136" s="9" t="n"/>
      <c r="O136" s="9" t="n"/>
    </row>
    <row r="137" ht="18" customHeight="1">
      <c r="A137" s="679" t="n"/>
      <c r="B137" s="679" t="n"/>
      <c r="C137" s="735" t="inlineStr">
        <is>
          <t>異音、振動等</t>
        </is>
      </c>
      <c r="D137" s="736" t="n"/>
      <c r="E137" s="316" t="n"/>
      <c r="F137" s="317" t="n"/>
      <c r="G137" s="317" t="n"/>
      <c r="H137" s="317" t="n"/>
      <c r="I137" s="317" t="n"/>
      <c r="J137" s="9" t="n"/>
      <c r="K137" s="9" t="n"/>
      <c r="L137" s="9" t="n"/>
      <c r="M137" s="9" t="n"/>
      <c r="N137" s="9" t="n"/>
      <c r="O137" s="9" t="n"/>
    </row>
    <row r="138" ht="18" customHeight="1">
      <c r="A138" s="626" t="n"/>
      <c r="B138" s="626" t="n"/>
      <c r="C138" s="732" t="inlineStr">
        <is>
          <t>モード確認</t>
        </is>
      </c>
      <c r="D138" s="591" t="n"/>
      <c r="E138" s="320" t="n"/>
      <c r="F138" s="321" t="n"/>
      <c r="G138" s="321" t="n"/>
      <c r="H138" s="321" t="n"/>
      <c r="I138" s="321" t="n"/>
      <c r="J138" s="9" t="n"/>
      <c r="K138" s="9" t="n"/>
      <c r="L138" s="9" t="n"/>
      <c r="M138" s="9" t="n"/>
      <c r="N138" s="9" t="n"/>
      <c r="O138" s="9" t="n"/>
    </row>
    <row r="139">
      <c r="A139" s="729" t="inlineStr">
        <is>
          <t>自家発室給気ファン</t>
        </is>
      </c>
      <c r="B139" s="726" t="inlineStr">
        <is>
          <t>―</t>
        </is>
      </c>
      <c r="C139" s="341" t="inlineStr">
        <is>
          <t>異音、振動</t>
        </is>
      </c>
      <c r="D139" s="342" t="n"/>
      <c r="E139" s="316" t="n"/>
      <c r="F139" s="317" t="n"/>
      <c r="G139" s="317" t="n"/>
      <c r="H139" s="317" t="n"/>
      <c r="I139" s="317" t="n"/>
      <c r="J139" s="9" t="n"/>
      <c r="K139" s="9" t="n"/>
      <c r="L139" s="9" t="n"/>
      <c r="M139" s="9" t="n"/>
      <c r="N139" s="9" t="n"/>
      <c r="O139" s="9" t="n"/>
    </row>
    <row r="140">
      <c r="A140" s="626" t="n"/>
      <c r="B140" s="626" t="n"/>
      <c r="C140" s="334" t="inlineStr">
        <is>
          <t>モード確認</t>
        </is>
      </c>
      <c r="D140" s="335" t="n"/>
      <c r="E140" s="322" t="n"/>
      <c r="F140" s="323" t="n"/>
      <c r="G140" s="323" t="n"/>
      <c r="H140" s="323" t="n"/>
      <c r="I140" s="323" t="n"/>
      <c r="J140" s="9" t="n"/>
      <c r="K140" s="76" t="n"/>
      <c r="L140" s="76" t="n"/>
      <c r="M140" s="9" t="n"/>
      <c r="N140" s="9" t="n"/>
      <c r="O140" s="9" t="n"/>
    </row>
    <row r="141">
      <c r="A141" s="727" t="inlineStr">
        <is>
          <t>汚泥ポンプ室排気  ファン</t>
        </is>
      </c>
      <c r="B141" s="726" t="inlineStr">
        <is>
          <t>―</t>
        </is>
      </c>
      <c r="C141" s="361" t="inlineStr">
        <is>
          <t>電流値</t>
        </is>
      </c>
      <c r="D141" s="331" t="inlineStr">
        <is>
          <t>Ａ</t>
        </is>
      </c>
      <c r="E141" s="932" t="n"/>
      <c r="F141" s="933" t="n"/>
      <c r="G141" s="933" t="n"/>
      <c r="H141" s="933" t="n"/>
      <c r="I141" s="933" t="n"/>
      <c r="J141" s="9" t="n"/>
      <c r="K141" s="76" t="n"/>
      <c r="L141" s="76" t="n"/>
      <c r="M141" s="9" t="n"/>
      <c r="N141" s="9" t="n"/>
      <c r="O141" s="9" t="n"/>
    </row>
    <row r="142" ht="13.5" customHeight="1">
      <c r="A142" s="679" t="n"/>
      <c r="B142" s="679" t="n"/>
      <c r="C142" s="314" t="inlineStr">
        <is>
          <t>異音、振動</t>
        </is>
      </c>
      <c r="D142" s="315" t="n"/>
      <c r="E142" s="316" t="n"/>
      <c r="F142" s="317" t="n"/>
      <c r="G142" s="317" t="n"/>
      <c r="H142" s="317" t="n"/>
      <c r="I142" s="317" t="n"/>
      <c r="J142" s="9" t="n"/>
      <c r="K142" s="9" t="n"/>
      <c r="L142" s="9" t="n"/>
      <c r="M142" s="9" t="n"/>
      <c r="N142" s="9" t="n"/>
      <c r="O142" s="9" t="n"/>
    </row>
    <row r="143">
      <c r="A143" s="626" t="n"/>
      <c r="B143" s="626" t="n"/>
      <c r="C143" s="362" t="inlineStr">
        <is>
          <t>モード確認</t>
        </is>
      </c>
      <c r="D143" s="363" t="n"/>
      <c r="E143" s="322" t="n"/>
      <c r="F143" s="323" t="n"/>
      <c r="G143" s="323" t="n"/>
      <c r="H143" s="323" t="n"/>
      <c r="I143" s="323" t="n"/>
      <c r="J143" s="9" t="n"/>
      <c r="K143" s="9" t="n"/>
      <c r="L143" s="9" t="n"/>
      <c r="M143" s="9" t="n"/>
      <c r="N143" s="9" t="n"/>
      <c r="O143" s="9" t="n"/>
    </row>
    <row r="144">
      <c r="A144" s="727" t="inlineStr">
        <is>
          <t>汚泥ポンプ室吸気ファン</t>
        </is>
      </c>
      <c r="B144" s="733" t="inlineStr">
        <is>
          <t>―</t>
        </is>
      </c>
      <c r="C144" s="364" t="inlineStr">
        <is>
          <t>電流値</t>
        </is>
      </c>
      <c r="D144" s="342" t="inlineStr">
        <is>
          <t>Ａ</t>
        </is>
      </c>
      <c r="E144" s="934" t="n"/>
      <c r="F144" s="934" t="n"/>
      <c r="G144" s="934" t="n"/>
      <c r="H144" s="934" t="n"/>
      <c r="I144" s="934" t="n"/>
      <c r="J144" s="9" t="n"/>
      <c r="K144" s="9" t="n"/>
      <c r="L144" s="9" t="n"/>
      <c r="M144" s="9" t="n"/>
      <c r="N144" s="9" t="n"/>
      <c r="O144" s="9" t="n"/>
    </row>
    <row r="145" ht="13.5" customHeight="1">
      <c r="A145" s="679" t="n"/>
      <c r="B145" s="679" t="n"/>
      <c r="C145" s="365" t="inlineStr">
        <is>
          <t>異音、振動</t>
        </is>
      </c>
      <c r="D145" s="366" t="n"/>
      <c r="E145" s="367" t="n"/>
      <c r="F145" s="368" t="n"/>
      <c r="G145" s="368" t="n"/>
      <c r="H145" s="368" t="n"/>
      <c r="I145" s="368" t="n"/>
      <c r="J145" s="9" t="n"/>
      <c r="K145" s="9" t="n"/>
      <c r="L145" s="9" t="n"/>
      <c r="M145" s="9" t="n"/>
      <c r="N145" s="9" t="n"/>
      <c r="O145" s="9" t="n"/>
    </row>
    <row r="146">
      <c r="A146" s="626" t="n"/>
      <c r="B146" s="626" t="n"/>
      <c r="C146" s="362" t="inlineStr">
        <is>
          <t>モード確認</t>
        </is>
      </c>
      <c r="D146" s="363" t="n"/>
      <c r="E146" s="322" t="n"/>
      <c r="F146" s="323" t="n"/>
      <c r="G146" s="323" t="n"/>
      <c r="H146" s="323" t="n"/>
      <c r="I146" s="323" t="n"/>
      <c r="J146" s="9" t="n"/>
      <c r="K146" s="9" t="n"/>
      <c r="L146" s="9" t="n"/>
      <c r="M146" s="9" t="n"/>
      <c r="N146" s="9" t="n"/>
      <c r="O146" s="9" t="n"/>
    </row>
    <row r="147">
      <c r="A147" s="727" t="inlineStr">
        <is>
          <t>脱水作業室排気ファン</t>
        </is>
      </c>
      <c r="B147" s="726" t="inlineStr">
        <is>
          <t>―</t>
        </is>
      </c>
      <c r="C147" s="364" t="inlineStr">
        <is>
          <t>電流値</t>
        </is>
      </c>
      <c r="D147" s="342" t="inlineStr">
        <is>
          <t>Ａ</t>
        </is>
      </c>
      <c r="E147" s="934" t="n"/>
      <c r="F147" s="934" t="n"/>
      <c r="G147" s="934" t="n"/>
      <c r="H147" s="934" t="n"/>
      <c r="I147" s="934" t="n"/>
      <c r="J147" s="9" t="n"/>
      <c r="K147" s="9" t="n"/>
      <c r="L147" s="9" t="n"/>
      <c r="M147" s="9" t="n"/>
      <c r="N147" s="9" t="n"/>
      <c r="O147" s="9" t="n"/>
    </row>
    <row r="148" ht="13.5" customHeight="1">
      <c r="A148" s="679" t="n"/>
      <c r="B148" s="679" t="n"/>
      <c r="C148" s="365" t="inlineStr">
        <is>
          <t>異音、振動</t>
        </is>
      </c>
      <c r="D148" s="366" t="n"/>
      <c r="E148" s="367" t="n"/>
      <c r="F148" s="368" t="n"/>
      <c r="G148" s="368" t="n"/>
      <c r="H148" s="368" t="n"/>
      <c r="I148" s="368" t="n"/>
      <c r="J148" s="9" t="n"/>
      <c r="K148" s="9" t="n"/>
      <c r="L148" s="9" t="n"/>
      <c r="M148" s="9" t="n"/>
      <c r="N148" s="9" t="n"/>
      <c r="O148" s="9" t="n"/>
    </row>
    <row r="149">
      <c r="A149" s="626" t="n"/>
      <c r="B149" s="626" t="n"/>
      <c r="C149" s="334" t="inlineStr">
        <is>
          <t>モード確認</t>
        </is>
      </c>
      <c r="D149" s="335" t="n"/>
      <c r="E149" s="322" t="n"/>
      <c r="F149" s="323" t="n"/>
      <c r="G149" s="323" t="n"/>
      <c r="H149" s="323" t="n"/>
      <c r="I149" s="323" t="n"/>
      <c r="J149" s="9" t="n"/>
      <c r="K149" s="9" t="n"/>
      <c r="L149" s="9" t="n"/>
      <c r="M149" s="9" t="n"/>
      <c r="N149" s="9" t="n"/>
      <c r="O149" s="9" t="n"/>
    </row>
    <row r="150" ht="13.5" customHeight="1">
      <c r="A150" s="727" t="inlineStr">
        <is>
          <t>脱水作業室吸気ファン</t>
        </is>
      </c>
      <c r="B150" s="726" t="inlineStr">
        <is>
          <t>―</t>
        </is>
      </c>
      <c r="C150" s="364" t="inlineStr">
        <is>
          <t>電流値</t>
        </is>
      </c>
      <c r="D150" s="342" t="inlineStr">
        <is>
          <t>Ａ</t>
        </is>
      </c>
      <c r="E150" s="934" t="n"/>
      <c r="F150" s="934" t="n"/>
      <c r="G150" s="934" t="n"/>
      <c r="H150" s="934" t="n"/>
      <c r="I150" s="934" t="n"/>
      <c r="J150" s="9" t="n"/>
      <c r="K150" s="9" t="n"/>
      <c r="L150" s="9" t="n"/>
      <c r="M150" s="9" t="n"/>
      <c r="N150" s="9" t="n"/>
      <c r="O150" s="9" t="n"/>
    </row>
    <row r="151" ht="13.5" customHeight="1">
      <c r="A151" s="679" t="n"/>
      <c r="B151" s="679" t="n"/>
      <c r="C151" s="365" t="inlineStr">
        <is>
          <t>異音、振動</t>
        </is>
      </c>
      <c r="D151" s="366" t="n"/>
      <c r="E151" s="367" t="n"/>
      <c r="F151" s="368" t="n"/>
      <c r="G151" s="368" t="n"/>
      <c r="H151" s="368" t="n"/>
      <c r="I151" s="368" t="n"/>
      <c r="J151" s="9" t="n"/>
      <c r="K151" s="9" t="n"/>
      <c r="L151" s="9" t="n"/>
      <c r="M151" s="9" t="n"/>
      <c r="N151" s="9" t="n"/>
      <c r="O151" s="9" t="n"/>
    </row>
    <row r="152">
      <c r="A152" s="626" t="n"/>
      <c r="B152" s="626" t="n"/>
      <c r="C152" s="334" t="inlineStr">
        <is>
          <t>モード確認</t>
        </is>
      </c>
      <c r="D152" s="335" t="n"/>
      <c r="E152" s="322" t="n"/>
      <c r="F152" s="323" t="n"/>
      <c r="G152" s="323" t="n"/>
      <c r="H152" s="323" t="n"/>
      <c r="I152" s="323" t="n"/>
      <c r="J152" s="9" t="n"/>
      <c r="K152" s="9" t="n"/>
      <c r="L152" s="9" t="n"/>
      <c r="M152" s="9" t="n"/>
      <c r="N152" s="9" t="n"/>
      <c r="O152" s="9" t="n"/>
    </row>
    <row r="153">
      <c r="A153" s="727" t="inlineStr">
        <is>
          <t>脱臭機械室排気ファン</t>
        </is>
      </c>
      <c r="B153" s="726" t="inlineStr">
        <is>
          <t>―</t>
        </is>
      </c>
      <c r="C153" s="364" t="inlineStr">
        <is>
          <t>電流値</t>
        </is>
      </c>
      <c r="D153" s="342" t="inlineStr">
        <is>
          <t>Ａ</t>
        </is>
      </c>
      <c r="E153" s="934" t="n"/>
      <c r="F153" s="934" t="n"/>
      <c r="G153" s="934" t="n"/>
      <c r="H153" s="934" t="n"/>
      <c r="I153" s="934" t="n"/>
      <c r="J153" s="9" t="n"/>
      <c r="K153" s="9" t="n"/>
      <c r="L153" s="9" t="n"/>
      <c r="M153" s="9" t="n"/>
      <c r="N153" s="9" t="n"/>
      <c r="O153" s="9" t="n"/>
    </row>
    <row r="154" ht="13.5" customHeight="1">
      <c r="A154" s="679" t="n"/>
      <c r="B154" s="679" t="n"/>
      <c r="C154" s="365" t="inlineStr">
        <is>
          <t>異音、振動</t>
        </is>
      </c>
      <c r="D154" s="366" t="n"/>
      <c r="E154" s="367" t="n"/>
      <c r="F154" s="368" t="n"/>
      <c r="G154" s="368" t="n"/>
      <c r="H154" s="368" t="n"/>
      <c r="I154" s="368" t="n"/>
      <c r="J154" s="9" t="n"/>
      <c r="K154" s="9" t="n"/>
      <c r="L154" s="9" t="n"/>
      <c r="M154" s="9" t="n"/>
      <c r="N154" s="9" t="n"/>
      <c r="O154" s="9" t="n"/>
    </row>
    <row r="155">
      <c r="A155" s="626" t="n"/>
      <c r="B155" s="626" t="n"/>
      <c r="C155" s="334" t="inlineStr">
        <is>
          <t>モード確認</t>
        </is>
      </c>
      <c r="D155" s="335" t="n"/>
      <c r="E155" s="322" t="n"/>
      <c r="F155" s="323" t="n"/>
      <c r="G155" s="323" t="n"/>
      <c r="H155" s="323" t="n"/>
      <c r="I155" s="323" t="n"/>
      <c r="J155" s="9" t="n"/>
      <c r="K155" s="9" t="n"/>
      <c r="L155" s="9" t="n"/>
      <c r="M155" s="9" t="n"/>
      <c r="N155" s="9" t="n"/>
      <c r="O155" s="9" t="n"/>
    </row>
    <row r="156">
      <c r="A156" s="727" t="inlineStr">
        <is>
          <t>脱臭機械室吸気ファン</t>
        </is>
      </c>
      <c r="B156" s="726" t="inlineStr">
        <is>
          <t>―</t>
        </is>
      </c>
      <c r="C156" s="364" t="inlineStr">
        <is>
          <t>電流値</t>
        </is>
      </c>
      <c r="D156" s="342" t="inlineStr">
        <is>
          <t>Ａ</t>
        </is>
      </c>
      <c r="E156" s="934" t="n"/>
      <c r="F156" s="934" t="n"/>
      <c r="G156" s="934" t="n"/>
      <c r="H156" s="934" t="n"/>
      <c r="I156" s="934" t="n"/>
      <c r="J156" s="9" t="n"/>
      <c r="K156" s="9" t="n"/>
      <c r="L156" s="9" t="n"/>
      <c r="M156" s="9" t="n"/>
      <c r="N156" s="9" t="n"/>
      <c r="O156" s="9" t="n"/>
    </row>
    <row r="157" ht="13.5" customHeight="1">
      <c r="A157" s="679" t="n"/>
      <c r="B157" s="679" t="n"/>
      <c r="C157" s="365" t="inlineStr">
        <is>
          <t>異音、振動</t>
        </is>
      </c>
      <c r="D157" s="366" t="n"/>
      <c r="E157" s="367" t="n"/>
      <c r="F157" s="368" t="n"/>
      <c r="G157" s="368" t="n"/>
      <c r="H157" s="368" t="n"/>
      <c r="I157" s="368" t="n"/>
      <c r="J157" s="9" t="n"/>
      <c r="K157" s="9" t="n"/>
      <c r="L157" s="9" t="n"/>
      <c r="M157" s="9" t="n"/>
      <c r="N157" s="9" t="n"/>
      <c r="O157" s="9" t="n"/>
    </row>
    <row r="158">
      <c r="A158" s="626" t="n"/>
      <c r="B158" s="626" t="n"/>
      <c r="C158" s="334" t="inlineStr">
        <is>
          <t>モード確認</t>
        </is>
      </c>
      <c r="D158" s="335" t="n"/>
      <c r="E158" s="324" t="n"/>
      <c r="F158" s="325" t="n"/>
      <c r="G158" s="325" t="n"/>
      <c r="H158" s="325" t="n"/>
      <c r="I158" s="325" t="n"/>
      <c r="J158" s="9" t="n"/>
      <c r="K158" s="9" t="n"/>
      <c r="L158" s="9" t="n"/>
      <c r="M158" s="9" t="n"/>
      <c r="N158" s="9" t="n"/>
      <c r="O158" s="9" t="n"/>
    </row>
    <row r="159">
      <c r="A159" s="748" t="inlineStr">
        <is>
          <t>終沈ポンプ室排気ファン</t>
        </is>
      </c>
      <c r="B159" s="726" t="inlineStr">
        <is>
          <t>―</t>
        </is>
      </c>
      <c r="C159" s="364" t="inlineStr">
        <is>
          <t>電流値</t>
        </is>
      </c>
      <c r="D159" s="342" t="inlineStr">
        <is>
          <t>Ａ</t>
        </is>
      </c>
      <c r="E159" s="934" t="n"/>
      <c r="F159" s="935" t="n"/>
      <c r="G159" s="935" t="n"/>
      <c r="H159" s="935" t="n"/>
      <c r="I159" s="935" t="n"/>
      <c r="J159" s="9" t="n"/>
      <c r="K159" s="9" t="n"/>
      <c r="L159" s="9" t="n"/>
      <c r="M159" s="9" t="n"/>
      <c r="N159" s="9" t="n"/>
      <c r="O159" s="9" t="n"/>
    </row>
    <row r="160" ht="13.5" customHeight="1">
      <c r="A160" s="679" t="n"/>
      <c r="B160" s="679" t="n"/>
      <c r="C160" s="330" t="inlineStr">
        <is>
          <t>異音、振動</t>
        </is>
      </c>
      <c r="D160" s="331" t="n"/>
      <c r="E160" s="328" t="n"/>
      <c r="F160" s="329" t="n"/>
      <c r="G160" s="329" t="n"/>
      <c r="H160" s="329" t="n"/>
      <c r="I160" s="329" t="n"/>
      <c r="J160" s="9" t="n"/>
      <c r="K160" s="9" t="n"/>
      <c r="L160" s="9" t="n"/>
      <c r="M160" s="9" t="n"/>
      <c r="N160" s="9" t="n"/>
      <c r="O160" s="9" t="n"/>
    </row>
    <row r="161">
      <c r="A161" s="626" t="n"/>
      <c r="B161" s="626" t="n"/>
      <c r="C161" s="334" t="inlineStr">
        <is>
          <t>モード確認</t>
        </is>
      </c>
      <c r="D161" s="335" t="n"/>
      <c r="E161" s="324" t="n"/>
      <c r="F161" s="325" t="n"/>
      <c r="G161" s="325" t="n"/>
      <c r="H161" s="325" t="n"/>
      <c r="I161" s="325" t="n"/>
      <c r="J161" s="9" t="n"/>
      <c r="K161" s="9" t="n"/>
      <c r="L161" s="9" t="n"/>
      <c r="M161" s="9" t="n"/>
      <c r="N161" s="9" t="n"/>
      <c r="O161" s="9" t="n"/>
    </row>
    <row r="162">
      <c r="A162" s="727" t="inlineStr">
        <is>
          <t>終沈ポンプ室吸気ファン</t>
        </is>
      </c>
      <c r="B162" s="726" t="inlineStr">
        <is>
          <t>―</t>
        </is>
      </c>
      <c r="C162" s="364" t="inlineStr">
        <is>
          <t>電流値</t>
        </is>
      </c>
      <c r="D162" s="342" t="inlineStr">
        <is>
          <t>Ａ</t>
        </is>
      </c>
      <c r="E162" s="934" t="n"/>
      <c r="F162" s="935" t="n"/>
      <c r="G162" s="935" t="n"/>
      <c r="H162" s="935" t="n"/>
      <c r="I162" s="935" t="n"/>
      <c r="J162" s="9" t="n"/>
      <c r="K162" s="9" t="n"/>
      <c r="L162" s="9" t="n"/>
      <c r="M162" s="9" t="n"/>
      <c r="N162" s="9" t="n"/>
      <c r="O162" s="9" t="n"/>
    </row>
    <row r="163" ht="13.5" customHeight="1">
      <c r="A163" s="679" t="n"/>
      <c r="B163" s="679" t="n"/>
      <c r="C163" s="330" t="inlineStr">
        <is>
          <t>異音、振動</t>
        </is>
      </c>
      <c r="D163" s="331" t="n"/>
      <c r="E163" s="328" t="n"/>
      <c r="F163" s="329" t="n"/>
      <c r="G163" s="329" t="n"/>
      <c r="H163" s="329" t="n"/>
      <c r="I163" s="329" t="n"/>
      <c r="J163" s="9" t="n"/>
      <c r="K163" s="9" t="n"/>
      <c r="L163" s="9" t="n"/>
      <c r="M163" s="9" t="n"/>
      <c r="N163" s="9" t="n"/>
      <c r="O163" s="9" t="n"/>
    </row>
    <row r="164">
      <c r="A164" s="626" t="n"/>
      <c r="B164" s="626" t="n"/>
      <c r="C164" s="334" t="inlineStr">
        <is>
          <t>モード確認</t>
        </is>
      </c>
      <c r="D164" s="335" t="n"/>
      <c r="E164" s="324" t="n"/>
      <c r="F164" s="325" t="n"/>
      <c r="G164" s="325" t="n"/>
      <c r="H164" s="325" t="n"/>
      <c r="I164" s="325" t="n"/>
      <c r="J164" s="9" t="n"/>
      <c r="K164" s="9" t="n"/>
      <c r="L164" s="9" t="n"/>
      <c r="M164" s="9" t="n"/>
      <c r="N164" s="9" t="n"/>
      <c r="O164" s="9" t="n"/>
    </row>
    <row r="165" ht="13.5" customHeight="1">
      <c r="A165" s="727" t="inlineStr">
        <is>
          <t>自動巻取型エア     フィルター</t>
        </is>
      </c>
      <c r="B165" s="750" t="inlineStr">
        <is>
          <t>―</t>
        </is>
      </c>
      <c r="C165" s="753" t="inlineStr">
        <is>
          <t>巻取完了表示点灯確認</t>
        </is>
      </c>
      <c r="D165" s="587" t="n"/>
      <c r="E165" s="332" t="n"/>
      <c r="F165" s="333" t="n"/>
      <c r="G165" s="333" t="n"/>
      <c r="H165" s="333" t="n"/>
      <c r="I165" s="333" t="n"/>
      <c r="J165" s="9" t="n"/>
      <c r="K165" s="9" t="n"/>
      <c r="L165" s="9" t="n"/>
      <c r="M165" s="9" t="n"/>
      <c r="N165" s="9" t="n"/>
      <c r="O165" s="9" t="n"/>
    </row>
    <row r="166">
      <c r="A166" s="679" t="n"/>
      <c r="C166" s="314" t="inlineStr">
        <is>
          <t>差圧</t>
        </is>
      </c>
      <c r="D166" s="315" t="inlineStr">
        <is>
          <t>Pa</t>
        </is>
      </c>
      <c r="E166" s="316" t="n"/>
      <c r="F166" s="317" t="n"/>
      <c r="G166" s="317" t="n"/>
      <c r="H166" s="317" t="n"/>
      <c r="I166" s="317" t="n"/>
      <c r="J166" s="9" t="n"/>
      <c r="K166" s="9" t="n"/>
      <c r="L166" s="9" t="n"/>
      <c r="M166" s="9" t="n"/>
      <c r="N166" s="9" t="n"/>
      <c r="O166" s="9" t="n"/>
    </row>
    <row r="167">
      <c r="A167" s="679" t="n"/>
      <c r="C167" s="314" t="inlineStr">
        <is>
          <t>モード確認</t>
        </is>
      </c>
      <c r="D167" s="315" t="n"/>
      <c r="E167" s="328" t="n"/>
      <c r="F167" s="329" t="n"/>
      <c r="G167" s="329" t="n"/>
      <c r="H167" s="329" t="n"/>
      <c r="I167" s="329" t="n"/>
      <c r="J167" s="9" t="n"/>
      <c r="K167" s="76" t="n"/>
      <c r="L167" s="76" t="n"/>
      <c r="M167" s="76" t="n"/>
      <c r="N167" s="9" t="n"/>
      <c r="O167" s="9" t="n"/>
    </row>
    <row r="168">
      <c r="A168" s="626" t="n"/>
      <c r="B168" s="598" t="n"/>
      <c r="C168" s="318" t="inlineStr">
        <is>
          <t>設定</t>
        </is>
      </c>
      <c r="D168" s="319" t="n"/>
      <c r="E168" s="324" t="n"/>
      <c r="F168" s="325" t="n"/>
      <c r="G168" s="325" t="n"/>
      <c r="H168" s="325" t="n"/>
      <c r="I168" s="325" t="n"/>
      <c r="J168" s="9" t="n"/>
      <c r="K168" s="369" t="n"/>
      <c r="L168" s="76" t="n"/>
      <c r="M168" s="9" t="n"/>
      <c r="N168" s="9" t="n"/>
      <c r="O168" s="9" t="n"/>
    </row>
    <row r="169" ht="18" customHeight="1">
      <c r="A169" s="370" t="inlineStr">
        <is>
          <t>備　　　考</t>
        </is>
      </c>
      <c r="B169" s="734" t="n"/>
      <c r="C169" s="586" t="n"/>
      <c r="D169" s="586" t="n"/>
      <c r="E169" s="586" t="n"/>
      <c r="F169" s="586" t="n"/>
      <c r="G169" s="586" t="n"/>
      <c r="H169" s="586" t="n"/>
      <c r="I169" s="587" t="n"/>
      <c r="J169" s="9" t="n"/>
      <c r="K169" s="9" t="n"/>
      <c r="L169" s="9" t="n"/>
      <c r="M169" s="9" t="n"/>
      <c r="N169" s="9" t="n"/>
      <c r="O169" s="9" t="n"/>
    </row>
    <row r="170">
      <c r="A170" s="752" t="n"/>
      <c r="D170" s="357" t="n"/>
      <c r="E170" s="371" t="n"/>
      <c r="F170" s="372" t="n"/>
      <c r="G170" s="372" t="n"/>
      <c r="H170" s="372" t="n"/>
      <c r="I170" s="373" t="n"/>
      <c r="J170" s="9" t="n"/>
      <c r="K170" s="9" t="n"/>
      <c r="L170" s="9" t="n"/>
      <c r="M170" s="9" t="n"/>
      <c r="N170" s="9" t="n"/>
      <c r="O170" s="9" t="n"/>
    </row>
    <row r="171">
      <c r="A171" s="737" t="n"/>
      <c r="F171" s="372" t="n"/>
      <c r="G171" s="372" t="n"/>
      <c r="H171" s="372" t="n"/>
      <c r="I171" s="373" t="n"/>
      <c r="J171" s="9" t="n"/>
      <c r="K171" s="9" t="n"/>
      <c r="L171" s="9" t="n"/>
      <c r="M171" s="9" t="n"/>
      <c r="N171" s="9" t="n"/>
      <c r="O171" s="9" t="n"/>
    </row>
    <row r="172">
      <c r="A172" s="755" t="n"/>
      <c r="F172" s="372" t="n"/>
      <c r="G172" s="372" t="n"/>
      <c r="H172" s="372" t="n"/>
      <c r="I172" s="373" t="n"/>
      <c r="J172" s="9" t="n"/>
      <c r="K172" s="9" t="n"/>
      <c r="L172" s="9" t="n"/>
      <c r="M172" s="9" t="n"/>
      <c r="N172" s="9" t="n"/>
      <c r="O172" s="9" t="n"/>
    </row>
    <row r="173">
      <c r="A173" s="374" t="n"/>
      <c r="B173" s="375" t="n"/>
      <c r="C173" s="375" t="n"/>
      <c r="D173" s="375" t="n"/>
      <c r="E173" s="372" t="n"/>
      <c r="F173" s="372" t="n"/>
      <c r="G173" s="372" t="n"/>
      <c r="H173" s="372" t="n"/>
      <c r="I173" s="373" t="n"/>
      <c r="J173" s="9" t="n"/>
      <c r="K173" s="9" t="n"/>
      <c r="L173" s="9" t="n"/>
      <c r="M173" s="9" t="n"/>
      <c r="N173" s="9" t="n"/>
      <c r="O173" s="9" t="n"/>
    </row>
    <row r="174">
      <c r="A174" s="374" t="n"/>
      <c r="B174" s="375" t="n"/>
      <c r="C174" s="375" t="n"/>
      <c r="D174" s="375" t="n"/>
      <c r="E174" s="372" t="n"/>
      <c r="F174" s="372" t="n"/>
      <c r="G174" s="372" t="n"/>
      <c r="H174" s="372" t="n"/>
      <c r="I174" s="373" t="n"/>
      <c r="J174" s="9" t="n"/>
      <c r="K174" s="9" t="n"/>
      <c r="L174" s="9" t="n"/>
      <c r="M174" s="9" t="n"/>
      <c r="N174" s="9" t="n"/>
      <c r="O174" s="9" t="n"/>
    </row>
    <row r="175">
      <c r="A175" s="374" t="n"/>
      <c r="B175" s="375" t="n"/>
      <c r="C175" s="375" t="n"/>
      <c r="D175" s="375" t="n"/>
      <c r="E175" s="372" t="n"/>
      <c r="F175" s="372" t="n"/>
      <c r="G175" s="372" t="n"/>
      <c r="H175" s="372" t="n"/>
      <c r="I175" s="373" t="n"/>
      <c r="J175" s="9" t="n"/>
      <c r="K175" s="9" t="n"/>
      <c r="L175" s="9" t="n"/>
      <c r="M175" s="9" t="n"/>
      <c r="N175" s="9" t="n"/>
      <c r="O175" s="9" t="n"/>
    </row>
    <row r="176">
      <c r="A176" s="376" t="n"/>
      <c r="B176" s="377" t="n"/>
      <c r="C176" s="377" t="n"/>
      <c r="D176" s="377" t="n"/>
      <c r="E176" s="378" t="n"/>
      <c r="F176" s="378" t="n"/>
      <c r="G176" s="378" t="n"/>
      <c r="H176" s="378" t="n"/>
      <c r="I176" s="379" t="n"/>
      <c r="J176" s="9" t="n"/>
      <c r="K176" s="9" t="n"/>
      <c r="L176" s="9" t="n"/>
      <c r="M176" s="9" t="n"/>
      <c r="N176" s="9" t="n"/>
      <c r="O176" s="9" t="n"/>
    </row>
    <row r="177" ht="18" customHeight="1">
      <c r="A177" s="747" t="inlineStr">
        <is>
          <t xml:space="preserve">　○：良　　△：要注意　　×：要修理</t>
        </is>
      </c>
      <c r="B177" s="586" t="n"/>
      <c r="C177" s="586" t="n"/>
      <c r="D177" s="586" t="n"/>
      <c r="E177" s="586" t="n"/>
      <c r="F177" s="586" t="n"/>
      <c r="G177" s="586" t="n"/>
      <c r="H177" s="586" t="n"/>
      <c r="I177" s="586" t="n"/>
      <c r="J177" s="9" t="n"/>
      <c r="K177" s="9" t="n"/>
      <c r="L177" s="9" t="n"/>
      <c r="M177" s="9" t="n"/>
      <c r="N177" s="9" t="n"/>
      <c r="O177" s="9" t="n"/>
    </row>
    <row r="178" ht="22" customHeight="1">
      <c r="A178" s="299" t="inlineStr">
        <is>
          <t xml:space="preserve">　機械設備日常点検表（１/３）</t>
        </is>
      </c>
      <c r="B178" s="594" t="n"/>
      <c r="C178" s="300" t="n"/>
      <c r="D178" s="594" t="n"/>
      <c r="E178" s="594" t="n"/>
      <c r="F178" s="594" t="n"/>
      <c r="G178" s="594" t="n"/>
      <c r="H178" s="300">
        <f>H1</f>
        <v/>
      </c>
      <c r="I178" s="594" t="n"/>
      <c r="J178" s="9" t="n"/>
      <c r="K178" s="9" t="n"/>
      <c r="L178" s="9" t="n"/>
      <c r="M178" s="9" t="n"/>
      <c r="N178" s="9" t="n"/>
      <c r="O178" s="9" t="n"/>
    </row>
    <row r="179" ht="18" customHeight="1">
      <c r="A179" s="726" t="inlineStr">
        <is>
          <t>機　器　名</t>
        </is>
      </c>
      <c r="B179" s="726" t="inlineStr">
        <is>
          <t>No</t>
        </is>
      </c>
      <c r="C179" s="726" t="inlineStr">
        <is>
          <t>点 検 者</t>
        </is>
      </c>
      <c r="D179" s="580" t="n"/>
      <c r="E179" s="726" t="inlineStr">
        <is>
          <t>山根　悠貴</t>
        </is>
      </c>
      <c r="F179" s="726" t="inlineStr">
        <is>
          <t>山根　悠貴</t>
        </is>
      </c>
      <c r="G179" s="302" t="inlineStr">
        <is>
          <t>山根　悠貴</t>
        </is>
      </c>
      <c r="H179" s="726" t="inlineStr">
        <is>
          <t>山根　悠貴</t>
        </is>
      </c>
      <c r="I179" s="726">
        <f>I2</f>
        <v/>
      </c>
      <c r="J179" s="9" t="n"/>
      <c r="K179" s="9" t="n"/>
      <c r="L179" s="9" t="n"/>
      <c r="M179" s="9" t="n"/>
      <c r="N179" s="9" t="n"/>
      <c r="O179" s="9" t="n"/>
    </row>
    <row r="180" ht="18" customHeight="1">
      <c r="A180" s="626" t="n"/>
      <c r="B180" s="626" t="n"/>
      <c r="C180" s="726" t="inlineStr">
        <is>
          <t>点検内容</t>
        </is>
      </c>
      <c r="D180" s="580" t="n"/>
      <c r="E180" s="931">
        <f>I3+3</f>
        <v/>
      </c>
      <c r="F180" s="931">
        <f>E180+1</f>
        <v/>
      </c>
      <c r="G180" s="930">
        <f>F180+1</f>
        <v/>
      </c>
      <c r="H180" s="931">
        <f>G180+1</f>
        <v/>
      </c>
      <c r="I180" s="931">
        <f>H180+1</f>
        <v/>
      </c>
      <c r="J180" s="9" t="n"/>
      <c r="K180" s="9" t="n"/>
      <c r="L180" s="9" t="n"/>
      <c r="M180" s="9" t="n"/>
      <c r="N180" s="9" t="n"/>
      <c r="O180" s="9" t="n"/>
    </row>
    <row r="181">
      <c r="A181" s="729" t="inlineStr">
        <is>
          <t>ポンプ井</t>
        </is>
      </c>
      <c r="B181" s="726" t="inlineStr">
        <is>
          <t>―</t>
        </is>
      </c>
      <c r="C181" s="306" t="inlineStr">
        <is>
          <t>内部状況確認</t>
        </is>
      </c>
      <c r="D181" s="307" t="n"/>
      <c r="E181" s="309" t="n"/>
      <c r="F181" s="309" t="n"/>
      <c r="G181" s="308" t="n"/>
      <c r="H181" s="309" t="n"/>
      <c r="I181" s="309" t="n"/>
      <c r="J181" s="9" t="n"/>
      <c r="K181" s="9" t="n"/>
      <c r="L181" s="9" t="n"/>
      <c r="M181" s="9" t="n"/>
      <c r="N181" s="9" t="n"/>
      <c r="O181" s="9" t="n"/>
    </row>
    <row r="182">
      <c r="A182" s="756" t="inlineStr">
        <is>
          <t>汚水ポンプ</t>
        </is>
      </c>
      <c r="B182" s="726" t="n">
        <v>1</v>
      </c>
      <c r="C182" s="310" t="inlineStr">
        <is>
          <t>電流値</t>
        </is>
      </c>
      <c r="D182" s="734" t="inlineStr">
        <is>
          <t>Ａ</t>
        </is>
      </c>
      <c r="E182" s="936" t="n"/>
      <c r="F182" s="936" t="n"/>
      <c r="G182" s="937" t="n"/>
      <c r="H182" s="936" t="n"/>
      <c r="I182" s="933" t="n"/>
      <c r="J182" s="9" t="n"/>
      <c r="K182" s="9" t="n"/>
      <c r="L182" s="9" t="n"/>
      <c r="M182" s="9" t="n"/>
      <c r="N182" s="9" t="n"/>
      <c r="O182" s="9" t="n"/>
    </row>
    <row r="183">
      <c r="A183" s="679" t="n"/>
      <c r="B183" s="679" t="n"/>
      <c r="C183" s="314" t="inlineStr">
        <is>
          <t>吐出圧力</t>
        </is>
      </c>
      <c r="D183" s="315" t="inlineStr">
        <is>
          <t>Mpa</t>
        </is>
      </c>
      <c r="E183" s="382" t="n"/>
      <c r="F183" s="382" t="n"/>
      <c r="G183" s="383" t="n"/>
      <c r="H183" s="382" t="n"/>
      <c r="I183" s="317" t="n"/>
      <c r="J183" s="9" t="n"/>
      <c r="K183" s="9" t="n"/>
      <c r="L183" s="9" t="n"/>
      <c r="M183" s="9" t="n"/>
      <c r="N183" s="9" t="n"/>
      <c r="O183" s="9" t="n"/>
    </row>
    <row r="184">
      <c r="A184" s="679" t="n"/>
      <c r="B184" s="626" t="n"/>
      <c r="C184" s="318" t="inlineStr">
        <is>
          <t>異音、振動</t>
        </is>
      </c>
      <c r="D184" s="319" t="n"/>
      <c r="E184" s="384" t="n"/>
      <c r="F184" s="384" t="n"/>
      <c r="G184" s="385" t="n"/>
      <c r="H184" s="384" t="n"/>
      <c r="I184" s="321" t="n"/>
      <c r="J184" s="9" t="n"/>
      <c r="K184" s="9" t="n"/>
      <c r="L184" s="9" t="n"/>
      <c r="M184" s="9" t="n"/>
      <c r="N184" s="9" t="n"/>
      <c r="O184" s="9" t="n"/>
    </row>
    <row r="185">
      <c r="A185" s="679" t="n"/>
      <c r="B185" s="726" t="n">
        <v>2</v>
      </c>
      <c r="C185" s="310" t="inlineStr">
        <is>
          <t>電流値</t>
        </is>
      </c>
      <c r="D185" s="734" t="inlineStr">
        <is>
          <t>Ａ</t>
        </is>
      </c>
      <c r="E185" s="933" t="n"/>
      <c r="F185" s="933" t="n"/>
      <c r="G185" s="932" t="n"/>
      <c r="H185" s="933" t="n"/>
      <c r="I185" s="933" t="n"/>
      <c r="J185" s="9" t="n"/>
      <c r="K185" s="9" t="n"/>
      <c r="L185" s="9" t="n"/>
      <c r="M185" s="9" t="n"/>
      <c r="N185" s="9" t="n"/>
      <c r="O185" s="9" t="n"/>
    </row>
    <row r="186" ht="13.5" customHeight="1">
      <c r="A186" s="679" t="n"/>
      <c r="B186" s="679" t="n"/>
      <c r="C186" s="314" t="inlineStr">
        <is>
          <t>吐出圧力</t>
        </is>
      </c>
      <c r="D186" s="315" t="inlineStr">
        <is>
          <t>Mpa</t>
        </is>
      </c>
      <c r="E186" s="323" t="n"/>
      <c r="F186" s="323" t="n"/>
      <c r="G186" s="322" t="n"/>
      <c r="H186" s="323" t="n"/>
      <c r="I186" s="323" t="n"/>
      <c r="J186" s="9" t="n"/>
      <c r="K186" s="73" t="n"/>
      <c r="L186" s="9" t="n"/>
      <c r="M186" s="9" t="n"/>
      <c r="N186" s="9" t="n"/>
      <c r="O186" s="9" t="n"/>
    </row>
    <row r="187">
      <c r="A187" s="679" t="n"/>
      <c r="B187" s="626" t="n"/>
      <c r="C187" s="318">
        <f>C184</f>
        <v/>
      </c>
      <c r="D187" s="319" t="n"/>
      <c r="E187" s="325" t="n"/>
      <c r="F187" s="325" t="n"/>
      <c r="G187" s="324" t="n"/>
      <c r="H187" s="325" t="n"/>
      <c r="I187" s="325" t="n"/>
      <c r="J187" s="9" t="n"/>
      <c r="K187" s="9" t="n"/>
      <c r="L187" s="9" t="n"/>
      <c r="M187" s="9" t="n"/>
      <c r="N187" s="9" t="n"/>
      <c r="O187" s="9" t="n"/>
    </row>
    <row r="188" ht="18" customHeight="1">
      <c r="A188" s="679" t="n"/>
      <c r="B188" s="726" t="inlineStr">
        <is>
          <t>―</t>
        </is>
      </c>
      <c r="C188" s="745" t="inlineStr">
        <is>
          <t>モード確認</t>
        </is>
      </c>
      <c r="D188" s="746" t="n"/>
      <c r="E188" s="327" t="n"/>
      <c r="F188" s="327" t="n"/>
      <c r="G188" s="326" t="n"/>
      <c r="H188" s="327" t="n"/>
      <c r="I188" s="327" t="n"/>
      <c r="J188" s="9" t="n"/>
      <c r="K188" s="73" t="n"/>
      <c r="L188" s="73" t="n"/>
      <c r="M188" s="73" t="n"/>
      <c r="N188" s="76" t="n"/>
      <c r="O188" s="9" t="n"/>
    </row>
    <row r="189" ht="18" customHeight="1">
      <c r="A189" s="626" t="n"/>
      <c r="B189" s="626" t="n"/>
      <c r="C189" s="743" t="inlineStr">
        <is>
          <t>機種選択</t>
        </is>
      </c>
      <c r="D189" s="591" t="n"/>
      <c r="E189" s="329" t="n"/>
      <c r="F189" s="329" t="n"/>
      <c r="G189" s="328" t="n"/>
      <c r="H189" s="329" t="n"/>
      <c r="I189" s="329" t="n"/>
      <c r="J189" s="9" t="n"/>
      <c r="K189" s="72" t="n"/>
      <c r="L189" s="72" t="n"/>
      <c r="M189" s="72" t="n"/>
      <c r="N189" s="9" t="n"/>
      <c r="O189" s="9" t="n"/>
    </row>
    <row r="190">
      <c r="A190" s="729" t="inlineStr">
        <is>
          <t>自動除塵機</t>
        </is>
      </c>
      <c r="B190" s="726" t="n"/>
      <c r="C190" s="330" t="inlineStr">
        <is>
          <t>油圧圧力</t>
        </is>
      </c>
      <c r="D190" s="331" t="inlineStr">
        <is>
          <t>Mpa</t>
        </is>
      </c>
      <c r="E190" s="933" t="n"/>
      <c r="F190" s="933" t="n"/>
      <c r="G190" s="932" t="n"/>
      <c r="H190" s="933" t="n"/>
      <c r="I190" s="933" t="n"/>
      <c r="J190" s="9" t="n"/>
      <c r="K190" s="9" t="n"/>
      <c r="L190" s="9" t="n"/>
      <c r="M190" s="9" t="n"/>
      <c r="N190" s="9" t="n"/>
      <c r="O190" s="9" t="n"/>
    </row>
    <row r="191">
      <c r="A191" s="679" t="n"/>
      <c r="B191" s="679" t="n"/>
      <c r="C191" s="314" t="inlineStr">
        <is>
          <t>異音、振動</t>
        </is>
      </c>
      <c r="D191" s="315" t="n"/>
      <c r="E191" s="317" t="n"/>
      <c r="F191" s="317" t="n"/>
      <c r="G191" s="316" t="n"/>
      <c r="H191" s="317" t="n"/>
      <c r="I191" s="317" t="n"/>
      <c r="J191" s="9" t="n"/>
      <c r="K191" s="76" t="n"/>
      <c r="L191" s="76" t="n"/>
      <c r="M191" s="76" t="n"/>
      <c r="N191" s="72" t="n"/>
      <c r="O191" s="9" t="n"/>
    </row>
    <row r="192">
      <c r="A192" s="679" t="n"/>
      <c r="B192" s="679" t="n"/>
      <c r="C192" s="314" t="inlineStr">
        <is>
          <t>し渣量の確認</t>
        </is>
      </c>
      <c r="D192" s="315" t="n"/>
      <c r="E192" s="317" t="n"/>
      <c r="F192" s="317" t="n"/>
      <c r="G192" s="316" t="n"/>
      <c r="H192" s="317" t="n"/>
      <c r="I192" s="317" t="n"/>
      <c r="J192" s="9" t="n"/>
      <c r="K192" s="76" t="n"/>
      <c r="L192" s="76" t="n"/>
      <c r="M192" s="72" t="n"/>
      <c r="N192" s="9" t="n"/>
      <c r="O192" s="9" t="n"/>
    </row>
    <row r="193">
      <c r="A193" s="626" t="n"/>
      <c r="B193" s="626" t="n"/>
      <c r="C193" s="318" t="inlineStr">
        <is>
          <t>運転動作</t>
        </is>
      </c>
      <c r="D193" s="319" t="n"/>
      <c r="E193" s="321" t="n"/>
      <c r="F193" s="321" t="n"/>
      <c r="G193" s="320" t="n"/>
      <c r="H193" s="321" t="n"/>
      <c r="I193" s="321" t="n"/>
      <c r="J193" s="9" t="n"/>
      <c r="K193" s="9" t="n"/>
      <c r="L193" s="9" t="n"/>
      <c r="M193" s="9" t="n"/>
      <c r="N193" s="9" t="n"/>
      <c r="O193" s="9" t="n"/>
    </row>
    <row r="194">
      <c r="A194" s="741" t="inlineStr">
        <is>
          <t>エアレーション装置</t>
        </is>
      </c>
      <c r="B194" s="728" t="inlineStr">
        <is>
          <t>№1</t>
        </is>
      </c>
      <c r="C194" s="310" t="inlineStr">
        <is>
          <t>電流値</t>
        </is>
      </c>
      <c r="D194" s="734" t="inlineStr">
        <is>
          <t>Ａ</t>
        </is>
      </c>
      <c r="E194" s="933" t="n"/>
      <c r="F194" s="933" t="n"/>
      <c r="G194" s="932" t="n"/>
      <c r="H194" s="933" t="n"/>
      <c r="I194" s="933" t="n"/>
      <c r="J194" s="9" t="n"/>
      <c r="K194" s="9" t="n"/>
      <c r="L194" s="9" t="n"/>
      <c r="M194" s="9" t="n"/>
      <c r="N194" s="9" t="n"/>
      <c r="O194" s="9" t="n"/>
    </row>
    <row r="195">
      <c r="A195" s="679" t="n"/>
      <c r="B195" s="679" t="n"/>
      <c r="C195" s="314">
        <f>C191</f>
        <v/>
      </c>
      <c r="D195" s="315" t="n"/>
      <c r="E195" s="317" t="n"/>
      <c r="F195" s="317" t="n"/>
      <c r="G195" s="316" t="n"/>
      <c r="H195" s="317" t="n"/>
      <c r="I195" s="317" t="n"/>
      <c r="J195" s="9" t="n"/>
      <c r="K195" s="76" t="n"/>
      <c r="L195" s="76" t="n"/>
      <c r="M195" s="76" t="n"/>
      <c r="N195" s="9" t="n"/>
      <c r="O195" s="9" t="n"/>
    </row>
    <row r="196" ht="18" customHeight="1">
      <c r="A196" s="679" t="n"/>
      <c r="B196" s="626" t="n"/>
      <c r="C196" s="743" t="inlineStr">
        <is>
          <t>モード確認</t>
        </is>
      </c>
      <c r="D196" s="591" t="n"/>
      <c r="E196" s="321" t="n"/>
      <c r="F196" s="321" t="n"/>
      <c r="G196" s="320" t="n"/>
      <c r="H196" s="321" t="n"/>
      <c r="I196" s="321" t="n"/>
      <c r="J196" s="9" t="n"/>
      <c r="K196" s="9" t="n"/>
      <c r="L196" s="9" t="n"/>
      <c r="M196" s="9" t="n"/>
      <c r="N196" s="9" t="n"/>
      <c r="O196" s="9" t="n"/>
    </row>
    <row r="197">
      <c r="A197" s="679" t="n"/>
      <c r="B197" s="728" t="inlineStr">
        <is>
          <t>№2</t>
        </is>
      </c>
      <c r="C197" s="310" t="inlineStr">
        <is>
          <t>電流値</t>
        </is>
      </c>
      <c r="D197" s="734" t="inlineStr">
        <is>
          <t>Ａ</t>
        </is>
      </c>
      <c r="E197" s="933" t="n"/>
      <c r="F197" s="933" t="n"/>
      <c r="G197" s="932" t="n"/>
      <c r="H197" s="933" t="n"/>
      <c r="I197" s="933" t="n"/>
      <c r="J197" s="9" t="n"/>
      <c r="K197" s="76" t="n"/>
      <c r="L197" s="76" t="n"/>
      <c r="M197" s="76" t="n"/>
      <c r="N197" s="9" t="n"/>
      <c r="O197" s="9" t="n"/>
    </row>
    <row r="198">
      <c r="A198" s="679" t="n"/>
      <c r="B198" s="679" t="n"/>
      <c r="C198" s="314">
        <f>C195</f>
        <v/>
      </c>
      <c r="D198" s="315" t="n"/>
      <c r="E198" s="317" t="n"/>
      <c r="F198" s="317" t="n"/>
      <c r="G198" s="316" t="n"/>
      <c r="H198" s="317" t="n"/>
      <c r="I198" s="317" t="n"/>
      <c r="J198" s="9" t="n"/>
      <c r="K198" s="9" t="n"/>
      <c r="L198" s="9" t="n"/>
      <c r="M198" s="9" t="n"/>
      <c r="N198" s="9" t="n"/>
      <c r="O198" s="9" t="n"/>
    </row>
    <row r="199" ht="18" customHeight="1">
      <c r="A199" s="679" t="n"/>
      <c r="B199" s="626" t="n"/>
      <c r="C199" s="743" t="inlineStr">
        <is>
          <t>モード確認</t>
        </is>
      </c>
      <c r="D199" s="591" t="n"/>
      <c r="E199" s="321" t="n"/>
      <c r="F199" s="321" t="n"/>
      <c r="G199" s="320" t="n"/>
      <c r="H199" s="321" t="n"/>
      <c r="I199" s="321" t="n"/>
      <c r="J199" s="9" t="n"/>
      <c r="K199" s="76" t="n"/>
      <c r="L199" s="76" t="n"/>
      <c r="M199" s="9" t="n"/>
      <c r="N199" s="9" t="n"/>
      <c r="O199" s="9" t="n"/>
    </row>
    <row r="200">
      <c r="A200" s="679" t="n"/>
      <c r="B200" s="728" t="inlineStr">
        <is>
          <t>№3</t>
        </is>
      </c>
      <c r="C200" s="310" t="inlineStr">
        <is>
          <t>電流値</t>
        </is>
      </c>
      <c r="D200" s="734" t="inlineStr">
        <is>
          <t>Ａ</t>
        </is>
      </c>
      <c r="E200" s="933" t="n"/>
      <c r="F200" s="933" t="n"/>
      <c r="G200" s="932" t="n"/>
      <c r="H200" s="933" t="n"/>
      <c r="I200" s="933" t="n"/>
      <c r="J200" s="76" t="n"/>
      <c r="K200" s="76" t="n"/>
      <c r="L200" s="76" t="n"/>
      <c r="M200" s="9" t="n"/>
      <c r="N200" s="9" t="n"/>
      <c r="O200" s="9" t="n"/>
    </row>
    <row r="201">
      <c r="A201" s="679" t="n"/>
      <c r="B201" s="679" t="n"/>
      <c r="C201" s="314">
        <f>C198</f>
        <v/>
      </c>
      <c r="D201" s="315" t="n"/>
      <c r="E201" s="317" t="n"/>
      <c r="F201" s="317" t="n"/>
      <c r="G201" s="316" t="n"/>
      <c r="H201" s="317" t="n"/>
      <c r="I201" s="317" t="n"/>
      <c r="J201" s="9" t="n"/>
      <c r="K201" s="9" t="n"/>
      <c r="L201" s="9" t="n"/>
      <c r="M201" s="9" t="n"/>
      <c r="N201" s="9" t="n"/>
      <c r="O201" s="9" t="n"/>
    </row>
    <row r="202" ht="18" customHeight="1">
      <c r="A202" s="679" t="n"/>
      <c r="B202" s="626" t="n"/>
      <c r="C202" s="743" t="inlineStr">
        <is>
          <t>モード確認</t>
        </is>
      </c>
      <c r="D202" s="591" t="n"/>
      <c r="E202" s="321" t="n"/>
      <c r="F202" s="321" t="n"/>
      <c r="G202" s="320" t="n"/>
      <c r="H202" s="321" t="n"/>
      <c r="I202" s="321" t="n"/>
      <c r="J202" s="9" t="n"/>
      <c r="K202" s="9" t="n"/>
      <c r="L202" s="9" t="n"/>
      <c r="M202" s="9" t="n"/>
      <c r="N202" s="9" t="n"/>
      <c r="O202" s="9" t="n"/>
    </row>
    <row r="203">
      <c r="A203" s="679" t="n"/>
      <c r="B203" s="728" t="inlineStr">
        <is>
          <t>№4</t>
        </is>
      </c>
      <c r="C203" s="310" t="inlineStr">
        <is>
          <t>電流値</t>
        </is>
      </c>
      <c r="D203" s="734" t="inlineStr">
        <is>
          <t>Ａ</t>
        </is>
      </c>
      <c r="E203" s="933" t="n"/>
      <c r="F203" s="933" t="n"/>
      <c r="G203" s="932" t="n"/>
      <c r="H203" s="933" t="n"/>
      <c r="I203" s="933" t="n"/>
      <c r="J203" s="9" t="n"/>
      <c r="K203" s="9" t="n"/>
      <c r="L203" s="9" t="n"/>
      <c r="M203" s="9" t="n"/>
      <c r="N203" s="9" t="n"/>
      <c r="O203" s="9" t="n"/>
    </row>
    <row r="204">
      <c r="A204" s="679" t="n"/>
      <c r="B204" s="679" t="n"/>
      <c r="C204" s="314">
        <f>C201</f>
        <v/>
      </c>
      <c r="D204" s="315" t="n"/>
      <c r="E204" s="317" t="n"/>
      <c r="F204" s="317" t="n"/>
      <c r="G204" s="316" t="n"/>
      <c r="H204" s="317" t="n"/>
      <c r="I204" s="317" t="n"/>
      <c r="J204" s="9" t="n"/>
      <c r="K204" s="9" t="n"/>
      <c r="L204" s="9" t="n"/>
      <c r="M204" s="9" t="n"/>
      <c r="N204" s="9" t="n"/>
      <c r="O204" s="9" t="n"/>
    </row>
    <row r="205" ht="18" customHeight="1">
      <c r="A205" s="626" t="n"/>
      <c r="B205" s="626" t="n"/>
      <c r="C205" s="743" t="inlineStr">
        <is>
          <t>モード確認</t>
        </is>
      </c>
      <c r="D205" s="591" t="n"/>
      <c r="E205" s="321" t="n"/>
      <c r="F205" s="321" t="n"/>
      <c r="G205" s="320" t="n"/>
      <c r="H205" s="321" t="n"/>
      <c r="I205" s="321" t="n"/>
      <c r="J205" s="9" t="n"/>
      <c r="K205" s="9" t="n"/>
      <c r="L205" s="9" t="n"/>
      <c r="M205" s="9" t="n"/>
      <c r="N205" s="9" t="n"/>
      <c r="O205" s="9" t="n"/>
    </row>
    <row r="206">
      <c r="A206" s="729" t="inlineStr">
        <is>
          <t>消泡装置</t>
        </is>
      </c>
      <c r="B206" s="726" t="inlineStr">
        <is>
          <t>―</t>
        </is>
      </c>
      <c r="C206" s="310" t="inlineStr">
        <is>
          <t>消泡ノズル</t>
        </is>
      </c>
      <c r="D206" s="734" t="n"/>
      <c r="E206" s="333" t="n"/>
      <c r="F206" s="333" t="n"/>
      <c r="G206" s="332" t="n"/>
      <c r="H206" s="333" t="n"/>
      <c r="I206" s="333" t="n"/>
      <c r="J206" s="9" t="n"/>
      <c r="K206" s="9" t="n"/>
      <c r="L206" s="9" t="n"/>
      <c r="M206" s="9" t="n"/>
      <c r="N206" s="9" t="n"/>
      <c r="O206" s="9" t="n"/>
    </row>
    <row r="207">
      <c r="A207" s="626" t="n"/>
      <c r="B207" s="626" t="n"/>
      <c r="C207" s="334" t="inlineStr">
        <is>
          <t>消泡状態</t>
        </is>
      </c>
      <c r="D207" s="335" t="n"/>
      <c r="E207" s="325" t="n"/>
      <c r="F207" s="325" t="n"/>
      <c r="G207" s="324" t="n"/>
      <c r="H207" s="325" t="n"/>
      <c r="I207" s="325" t="n"/>
      <c r="J207" s="9" t="n"/>
      <c r="K207" s="9" t="n"/>
      <c r="L207" s="9" t="n"/>
      <c r="M207" s="9" t="n"/>
      <c r="N207" s="9" t="n"/>
      <c r="O207" s="9" t="n"/>
    </row>
    <row r="208">
      <c r="A208" s="729" t="inlineStr">
        <is>
          <t>流出可動堰</t>
        </is>
      </c>
      <c r="B208" s="336" t="n">
        <v>1</v>
      </c>
      <c r="C208" s="310" t="inlineStr">
        <is>
          <t>開度</t>
        </is>
      </c>
      <c r="D208" s="734" t="inlineStr">
        <is>
          <t>㎜</t>
        </is>
      </c>
      <c r="E208" s="333" t="n"/>
      <c r="F208" s="333" t="n"/>
      <c r="G208" s="332" t="n"/>
      <c r="H208" s="333" t="n"/>
      <c r="I208" s="333" t="n"/>
      <c r="J208" s="9" t="n"/>
      <c r="K208" s="9" t="n"/>
      <c r="L208" s="9" t="n"/>
      <c r="M208" s="9" t="n"/>
      <c r="N208" s="9" t="n"/>
      <c r="O208" s="9" t="n"/>
    </row>
    <row r="209">
      <c r="A209" s="626" t="n"/>
      <c r="B209" s="337" t="n">
        <v>2</v>
      </c>
      <c r="C209" s="334" t="inlineStr">
        <is>
          <t>開度</t>
        </is>
      </c>
      <c r="D209" s="335" t="inlineStr">
        <is>
          <t>㎜</t>
        </is>
      </c>
      <c r="E209" s="325" t="n"/>
      <c r="F209" s="325" t="n"/>
      <c r="G209" s="324" t="n"/>
      <c r="H209" s="325" t="n"/>
      <c r="I209" s="325" t="n"/>
      <c r="J209" s="9" t="n"/>
      <c r="K209" s="9" t="n"/>
      <c r="L209" s="9" t="n"/>
      <c r="M209" s="9" t="n"/>
      <c r="N209" s="9" t="n"/>
      <c r="O209" s="9" t="n"/>
    </row>
    <row r="210">
      <c r="A210" s="729" t="inlineStr">
        <is>
          <t>流出ゲート</t>
        </is>
      </c>
      <c r="B210" s="336" t="n">
        <v>1</v>
      </c>
      <c r="C210" s="310" t="inlineStr">
        <is>
          <t>開度</t>
        </is>
      </c>
      <c r="D210" s="734" t="inlineStr">
        <is>
          <t>㎜</t>
        </is>
      </c>
      <c r="E210" s="333" t="n"/>
      <c r="F210" s="333" t="n"/>
      <c r="G210" s="332" t="n"/>
      <c r="H210" s="333" t="n"/>
      <c r="I210" s="333" t="n"/>
      <c r="J210" s="9" t="n"/>
      <c r="K210" s="9" t="n"/>
      <c r="L210" s="9" t="n"/>
      <c r="M210" s="9" t="n"/>
      <c r="N210" s="9" t="n"/>
      <c r="O210" s="9" t="n"/>
    </row>
    <row r="211">
      <c r="A211" s="626" t="n"/>
      <c r="B211" s="337" t="n">
        <v>2</v>
      </c>
      <c r="C211" s="334" t="inlineStr">
        <is>
          <t>開度</t>
        </is>
      </c>
      <c r="D211" s="335" t="inlineStr">
        <is>
          <t>㎜</t>
        </is>
      </c>
      <c r="E211" s="325" t="n"/>
      <c r="F211" s="325" t="n"/>
      <c r="G211" s="324" t="n"/>
      <c r="H211" s="325" t="n"/>
      <c r="I211" s="325" t="n"/>
      <c r="J211" s="9" t="n"/>
      <c r="K211" s="9" t="n"/>
      <c r="L211" s="9" t="n"/>
      <c r="M211" s="9" t="n"/>
      <c r="N211" s="9" t="n"/>
      <c r="O211" s="9" t="n"/>
    </row>
    <row r="212">
      <c r="A212" s="729" t="inlineStr">
        <is>
          <t>連絡ゲート</t>
        </is>
      </c>
      <c r="B212" s="726" t="inlineStr">
        <is>
          <t>－</t>
        </is>
      </c>
      <c r="C212" s="306" t="inlineStr">
        <is>
          <t>開度</t>
        </is>
      </c>
      <c r="D212" s="307" t="inlineStr">
        <is>
          <t>㎜</t>
        </is>
      </c>
      <c r="E212" s="309" t="n"/>
      <c r="F212" s="309" t="n"/>
      <c r="G212" s="308" t="n"/>
      <c r="H212" s="309" t="n"/>
      <c r="I212" s="309" t="n"/>
      <c r="J212" s="9" t="n"/>
      <c r="K212" s="9" t="n"/>
      <c r="L212" s="9" t="n"/>
      <c r="M212" s="9" t="n"/>
      <c r="N212" s="9" t="n"/>
      <c r="O212" s="9" t="n"/>
    </row>
    <row r="213">
      <c r="A213" s="741" t="inlineStr">
        <is>
          <t>終沈汚泥掻寄機</t>
        </is>
      </c>
      <c r="B213" s="726" t="n">
        <v>1</v>
      </c>
      <c r="C213" s="310" t="inlineStr">
        <is>
          <t>電流値</t>
        </is>
      </c>
      <c r="D213" s="734" t="inlineStr">
        <is>
          <t>Ａ</t>
        </is>
      </c>
      <c r="E213" s="339" t="n"/>
      <c r="F213" s="339" t="n"/>
      <c r="G213" s="338" t="n"/>
      <c r="H213" s="339" t="n"/>
      <c r="I213" s="339" t="n"/>
      <c r="J213" s="9" t="n"/>
      <c r="K213" s="9" t="n"/>
      <c r="L213" s="9" t="n"/>
      <c r="M213" s="9" t="n"/>
      <c r="N213" s="9" t="n"/>
      <c r="O213" s="9" t="n"/>
    </row>
    <row r="214">
      <c r="A214" s="679" t="n"/>
      <c r="B214" s="626" t="n"/>
      <c r="C214" s="340" t="inlineStr">
        <is>
          <t>異音、振動等</t>
        </is>
      </c>
      <c r="D214" s="335" t="n"/>
      <c r="E214" s="325" t="n"/>
      <c r="F214" s="325" t="n"/>
      <c r="G214" s="324" t="n"/>
      <c r="H214" s="325" t="n"/>
      <c r="I214" s="325" t="n"/>
      <c r="J214" s="9" t="n"/>
      <c r="K214" s="9" t="n"/>
      <c r="L214" s="9" t="n"/>
      <c r="M214" s="9" t="n"/>
      <c r="N214" s="9" t="n"/>
      <c r="O214" s="9" t="n"/>
    </row>
    <row r="215">
      <c r="A215" s="679" t="n"/>
      <c r="B215" s="726" t="n">
        <v>2</v>
      </c>
      <c r="C215" s="341" t="inlineStr">
        <is>
          <t>電流値</t>
        </is>
      </c>
      <c r="D215" s="342" t="inlineStr">
        <is>
          <t>Ａ</t>
        </is>
      </c>
      <c r="E215" s="339" t="n"/>
      <c r="F215" s="339" t="n"/>
      <c r="G215" s="338" t="n"/>
      <c r="H215" s="339" t="n"/>
      <c r="I215" s="339" t="n"/>
      <c r="J215" s="9" t="n"/>
      <c r="K215" s="9" t="n"/>
      <c r="L215" s="9" t="n"/>
      <c r="M215" s="9" t="n"/>
      <c r="N215" s="9" t="n"/>
      <c r="O215" s="9" t="n"/>
    </row>
    <row r="216">
      <c r="A216" s="626" t="n"/>
      <c r="B216" s="626" t="n"/>
      <c r="C216" s="318">
        <f>C214</f>
        <v/>
      </c>
      <c r="D216" s="319" t="n"/>
      <c r="E216" s="321" t="n"/>
      <c r="F216" s="321" t="n"/>
      <c r="G216" s="320" t="n"/>
      <c r="H216" s="321" t="n"/>
      <c r="I216" s="321" t="n"/>
      <c r="J216" s="9" t="n"/>
      <c r="K216" s="9" t="n"/>
      <c r="L216" s="9" t="n"/>
      <c r="M216" s="9" t="n"/>
      <c r="N216" s="9" t="n"/>
      <c r="O216" s="9" t="n"/>
    </row>
    <row r="217">
      <c r="A217" s="741" t="inlineStr">
        <is>
          <t>スカムスキマー</t>
        </is>
      </c>
      <c r="B217" s="726" t="n">
        <v>1</v>
      </c>
      <c r="C217" s="310" t="inlineStr">
        <is>
          <t>動作状況</t>
        </is>
      </c>
      <c r="D217" s="734" t="n"/>
      <c r="E217" s="333" t="n"/>
      <c r="F217" s="333" t="n"/>
      <c r="G217" s="332" t="n"/>
      <c r="H217" s="333" t="n"/>
      <c r="I217" s="333" t="n"/>
      <c r="J217" s="9" t="n"/>
      <c r="K217" s="9" t="n"/>
      <c r="L217" s="9" t="n"/>
      <c r="M217" s="9" t="n"/>
      <c r="N217" s="9" t="n"/>
      <c r="O217" s="9" t="n"/>
    </row>
    <row r="218">
      <c r="A218" s="679" t="n"/>
      <c r="B218" s="626" t="n"/>
      <c r="C218" s="334" t="inlineStr">
        <is>
          <t>スカムの状況</t>
        </is>
      </c>
      <c r="D218" s="335" t="n"/>
      <c r="E218" s="325" t="n"/>
      <c r="F218" s="325" t="n"/>
      <c r="G218" s="324" t="n"/>
      <c r="H218" s="325" t="n"/>
      <c r="I218" s="325" t="n"/>
      <c r="J218" s="9" t="n"/>
      <c r="K218" s="9" t="n"/>
      <c r="L218" s="9" t="n"/>
      <c r="M218" s="9" t="n"/>
      <c r="N218" s="9" t="n"/>
      <c r="O218" s="9" t="n"/>
    </row>
    <row r="219">
      <c r="A219" s="679" t="n"/>
      <c r="B219" s="726" t="n">
        <v>2</v>
      </c>
      <c r="C219" s="341" t="inlineStr">
        <is>
          <t>動作状況</t>
        </is>
      </c>
      <c r="D219" s="342" t="n"/>
      <c r="E219" s="327" t="n"/>
      <c r="F219" s="327" t="n"/>
      <c r="G219" s="326" t="n"/>
      <c r="H219" s="327" t="n"/>
      <c r="I219" s="327" t="n"/>
      <c r="J219" s="9" t="n"/>
      <c r="K219" s="9" t="n"/>
      <c r="L219" s="9" t="n"/>
      <c r="M219" s="9" t="n"/>
      <c r="N219" s="9" t="n"/>
      <c r="O219" s="9" t="n"/>
    </row>
    <row r="220">
      <c r="A220" s="626" t="n"/>
      <c r="B220" s="626" t="n"/>
      <c r="C220" s="318" t="inlineStr">
        <is>
          <t>スカムの状況</t>
        </is>
      </c>
      <c r="D220" s="319" t="n"/>
      <c r="E220" s="321" t="n"/>
      <c r="F220" s="321" t="n"/>
      <c r="G220" s="320" t="n"/>
      <c r="H220" s="321" t="n"/>
      <c r="I220" s="321" t="n"/>
      <c r="J220" s="9" t="n"/>
      <c r="K220" s="9" t="n"/>
      <c r="L220" s="9" t="n"/>
      <c r="M220" s="9" t="n"/>
      <c r="N220" s="9" t="n"/>
      <c r="O220" s="9" t="n"/>
    </row>
    <row r="221">
      <c r="A221" s="749" t="inlineStr">
        <is>
          <t>返送汚泥ポンプ</t>
        </is>
      </c>
      <c r="B221" s="728" t="inlineStr">
        <is>
          <t>№1</t>
        </is>
      </c>
      <c r="C221" s="310" t="inlineStr">
        <is>
          <t>電流値</t>
        </is>
      </c>
      <c r="D221" s="734" t="inlineStr">
        <is>
          <t>Ａ</t>
        </is>
      </c>
      <c r="E221" s="933" t="n"/>
      <c r="F221" s="933" t="n"/>
      <c r="G221" s="932" t="n"/>
      <c r="H221" s="933" t="n"/>
      <c r="I221" s="933" t="n"/>
      <c r="J221" s="9" t="n"/>
      <c r="K221" s="9" t="n"/>
      <c r="L221" s="9" t="n"/>
      <c r="M221" s="9" t="n"/>
      <c r="N221" s="9" t="n"/>
      <c r="O221" s="9" t="n"/>
    </row>
    <row r="222">
      <c r="A222" s="679" t="n"/>
      <c r="B222" s="679" t="n"/>
      <c r="C222" s="314" t="inlineStr">
        <is>
          <t>吐出圧力</t>
        </is>
      </c>
      <c r="D222" s="315" t="inlineStr">
        <is>
          <t>Mpa</t>
        </is>
      </c>
      <c r="E222" s="317" t="n"/>
      <c r="F222" s="317" t="n"/>
      <c r="G222" s="316" t="n"/>
      <c r="H222" s="317" t="n"/>
      <c r="I222" s="317" t="n"/>
      <c r="J222" s="9" t="n"/>
      <c r="K222" s="9" t="n"/>
      <c r="L222" s="9" t="n"/>
      <c r="M222" s="9" t="n"/>
      <c r="N222" s="9" t="n"/>
      <c r="O222" s="9" t="n"/>
    </row>
    <row r="223">
      <c r="A223" s="679" t="n"/>
      <c r="B223" s="626" t="n"/>
      <c r="C223" s="318" t="inlineStr">
        <is>
          <t>異音、振動</t>
        </is>
      </c>
      <c r="D223" s="319" t="n"/>
      <c r="E223" s="321" t="n"/>
      <c r="F223" s="321" t="n"/>
      <c r="G223" s="320" t="n"/>
      <c r="H223" s="321" t="n"/>
      <c r="I223" s="321" t="n"/>
      <c r="J223" s="9" t="n"/>
      <c r="K223" s="9" t="n"/>
      <c r="L223" s="9" t="n"/>
      <c r="M223" s="9" t="n"/>
      <c r="N223" s="9" t="n"/>
      <c r="O223" s="9" t="n"/>
    </row>
    <row r="224">
      <c r="A224" s="679" t="n"/>
      <c r="B224" s="728" t="inlineStr">
        <is>
          <t>№2</t>
        </is>
      </c>
      <c r="C224" s="310" t="inlineStr">
        <is>
          <t>電流値</t>
        </is>
      </c>
      <c r="D224" s="734" t="inlineStr">
        <is>
          <t>Ａ</t>
        </is>
      </c>
      <c r="E224" s="333" t="n"/>
      <c r="F224" s="333" t="n"/>
      <c r="G224" s="332" t="n"/>
      <c r="H224" s="333" t="n"/>
      <c r="I224" s="333" t="n"/>
      <c r="J224" s="9" t="n"/>
      <c r="K224" s="9" t="n"/>
      <c r="L224" s="9" t="n"/>
      <c r="M224" s="9" t="n"/>
      <c r="N224" s="9" t="n"/>
      <c r="O224" s="9" t="n"/>
    </row>
    <row r="225">
      <c r="A225" s="679" t="n"/>
      <c r="B225" s="679" t="n"/>
      <c r="C225" s="314">
        <f>C222</f>
        <v/>
      </c>
      <c r="D225" s="315" t="inlineStr">
        <is>
          <t>Mpa</t>
        </is>
      </c>
      <c r="E225" s="317" t="n"/>
      <c r="F225" s="317" t="n"/>
      <c r="G225" s="316" t="n"/>
      <c r="H225" s="317" t="n"/>
      <c r="I225" s="317" t="n"/>
      <c r="J225" s="9" t="n"/>
      <c r="K225" s="9" t="n"/>
      <c r="L225" s="9" t="n"/>
      <c r="M225" s="9" t="n"/>
      <c r="N225" s="9" t="n"/>
      <c r="O225" s="9" t="n"/>
    </row>
    <row r="226">
      <c r="A226" s="679" t="n"/>
      <c r="B226" s="626" t="n"/>
      <c r="C226" s="318" t="inlineStr">
        <is>
          <t>異音、振動</t>
        </is>
      </c>
      <c r="D226" s="319" t="n"/>
      <c r="E226" s="321" t="n"/>
      <c r="F226" s="321" t="n"/>
      <c r="G226" s="320" t="n"/>
      <c r="H226" s="321" t="n"/>
      <c r="I226" s="321" t="n"/>
      <c r="J226" s="9" t="n"/>
      <c r="K226" s="9" t="n"/>
      <c r="L226" s="9" t="n"/>
      <c r="M226" s="9" t="n"/>
      <c r="N226" s="9" t="n"/>
      <c r="O226" s="9" t="n"/>
    </row>
    <row r="227">
      <c r="A227" s="679" t="n"/>
      <c r="B227" s="728" t="inlineStr">
        <is>
          <t>―</t>
        </is>
      </c>
      <c r="C227" s="310" t="inlineStr">
        <is>
          <t>モード確認</t>
        </is>
      </c>
      <c r="D227" s="734" t="n"/>
      <c r="E227" s="333" t="n"/>
      <c r="F227" s="333" t="n"/>
      <c r="G227" s="332" t="n"/>
      <c r="H227" s="333" t="n"/>
      <c r="I227" s="333" t="n"/>
      <c r="J227" s="9" t="n"/>
      <c r="K227" s="9" t="n"/>
      <c r="L227" s="9" t="n"/>
      <c r="M227" s="9" t="n"/>
      <c r="N227" s="9" t="n"/>
      <c r="O227" s="9" t="n"/>
    </row>
    <row r="228">
      <c r="A228" s="679" t="n"/>
      <c r="B228" s="626" t="n"/>
      <c r="C228" s="334" t="inlineStr">
        <is>
          <t>常用機選択</t>
        </is>
      </c>
      <c r="D228" s="335" t="n"/>
      <c r="E228" s="325" t="n"/>
      <c r="F228" s="325" t="n"/>
      <c r="G228" s="324" t="n"/>
      <c r="H228" s="325" t="n"/>
      <c r="I228" s="325" t="n"/>
      <c r="J228" s="9" t="n"/>
      <c r="K228" s="343" t="n"/>
      <c r="L228" s="343" t="n"/>
      <c r="M228" s="9" t="n"/>
      <c r="N228" s="9" t="n"/>
      <c r="O228" s="9" t="n"/>
    </row>
    <row r="229">
      <c r="A229" s="679" t="n"/>
      <c r="B229" s="728" t="inlineStr">
        <is>
          <t>№3</t>
        </is>
      </c>
      <c r="C229" s="310" t="inlineStr">
        <is>
          <t>電流値</t>
        </is>
      </c>
      <c r="D229" s="734" t="inlineStr">
        <is>
          <t>Ａ</t>
        </is>
      </c>
      <c r="E229" s="933" t="n"/>
      <c r="F229" s="933" t="n"/>
      <c r="G229" s="932" t="n"/>
      <c r="H229" s="933" t="n"/>
      <c r="I229" s="933" t="n"/>
      <c r="J229" s="9" t="n"/>
      <c r="K229" s="9" t="n"/>
      <c r="L229" s="9" t="n"/>
      <c r="M229" s="9" t="n"/>
      <c r="N229" s="9" t="n"/>
      <c r="O229" s="9" t="n"/>
    </row>
    <row r="230">
      <c r="A230" s="679" t="n"/>
      <c r="B230" s="679" t="n"/>
      <c r="C230" s="314">
        <f>C225</f>
        <v/>
      </c>
      <c r="D230" s="315" t="inlineStr">
        <is>
          <t>Mpa</t>
        </is>
      </c>
      <c r="E230" s="317" t="n"/>
      <c r="F230" s="317" t="n"/>
      <c r="G230" s="316" t="n"/>
      <c r="H230" s="317" t="n"/>
      <c r="I230" s="317" t="n"/>
      <c r="J230" s="9" t="n"/>
      <c r="K230" s="9" t="n"/>
      <c r="L230" s="9" t="n"/>
      <c r="M230" s="9" t="n"/>
      <c r="N230" s="9" t="n"/>
      <c r="O230" s="9" t="n"/>
    </row>
    <row r="231">
      <c r="A231" s="679" t="n"/>
      <c r="B231" s="626" t="n"/>
      <c r="C231" s="318" t="inlineStr">
        <is>
          <t>異音、振動</t>
        </is>
      </c>
      <c r="D231" s="319" t="n"/>
      <c r="E231" s="321" t="n"/>
      <c r="F231" s="321" t="n"/>
      <c r="G231" s="320" t="n"/>
      <c r="H231" s="321" t="n"/>
      <c r="I231" s="321" t="n"/>
      <c r="J231" s="9" t="n"/>
      <c r="K231" s="9" t="n"/>
      <c r="L231" s="9" t="n"/>
      <c r="M231" s="9" t="n"/>
      <c r="N231" s="9" t="n"/>
      <c r="O231" s="9" t="n"/>
    </row>
    <row r="232">
      <c r="A232" s="679" t="n"/>
      <c r="B232" s="728" t="inlineStr">
        <is>
          <t>№4</t>
        </is>
      </c>
      <c r="C232" s="310" t="inlineStr">
        <is>
          <t>電流値</t>
        </is>
      </c>
      <c r="D232" s="734" t="inlineStr">
        <is>
          <t>Ａ</t>
        </is>
      </c>
      <c r="E232" s="333" t="n"/>
      <c r="F232" s="333" t="n"/>
      <c r="G232" s="332" t="n"/>
      <c r="H232" s="333" t="n"/>
      <c r="I232" s="333" t="n"/>
      <c r="J232" s="9" t="n"/>
      <c r="K232" s="9" t="n"/>
      <c r="L232" s="9" t="n"/>
      <c r="M232" s="9" t="n"/>
      <c r="N232" s="9" t="n"/>
      <c r="O232" s="9" t="n"/>
    </row>
    <row r="233">
      <c r="A233" s="679" t="n"/>
      <c r="B233" s="679" t="n"/>
      <c r="C233" s="314">
        <f>C230</f>
        <v/>
      </c>
      <c r="D233" s="315" t="inlineStr">
        <is>
          <t>Mpa</t>
        </is>
      </c>
      <c r="E233" s="317" t="n"/>
      <c r="F233" s="317" t="n"/>
      <c r="G233" s="316" t="n"/>
      <c r="H233" s="317" t="n"/>
      <c r="I233" s="317" t="n"/>
      <c r="J233" s="9" t="n"/>
      <c r="K233" s="9" t="n"/>
      <c r="L233" s="9" t="n"/>
      <c r="M233" s="9" t="n"/>
      <c r="N233" s="9" t="n"/>
      <c r="O233" s="9" t="n"/>
    </row>
    <row r="234">
      <c r="A234" s="679" t="n"/>
      <c r="B234" s="626" t="n"/>
      <c r="C234" s="318" t="inlineStr">
        <is>
          <t>異音、振動</t>
        </is>
      </c>
      <c r="D234" s="319" t="n"/>
      <c r="E234" s="321" t="n"/>
      <c r="F234" s="321" t="n"/>
      <c r="G234" s="320" t="n"/>
      <c r="H234" s="321" t="n"/>
      <c r="I234" s="321" t="n"/>
      <c r="J234" s="9" t="n"/>
      <c r="K234" s="9" t="n"/>
      <c r="L234" s="9" t="n"/>
      <c r="M234" s="9" t="n"/>
      <c r="N234" s="9" t="n"/>
      <c r="O234" s="9" t="n"/>
    </row>
    <row r="235">
      <c r="A235" s="679" t="n"/>
      <c r="B235" s="754" t="inlineStr">
        <is>
          <t>―</t>
        </is>
      </c>
      <c r="C235" s="310" t="inlineStr">
        <is>
          <t>モード確認</t>
        </is>
      </c>
      <c r="D235" s="734" t="n"/>
      <c r="E235" s="333" t="n"/>
      <c r="F235" s="333" t="n"/>
      <c r="G235" s="332" t="n"/>
      <c r="H235" s="333" t="n"/>
      <c r="I235" s="333" t="n"/>
      <c r="J235" s="9" t="n"/>
      <c r="K235" s="9" t="n"/>
      <c r="L235" s="9" t="n"/>
      <c r="M235" s="9" t="n"/>
      <c r="N235" s="9" t="n"/>
      <c r="O235" s="9" t="n"/>
    </row>
    <row r="236">
      <c r="A236" s="679" t="n"/>
      <c r="B236" s="679" t="n"/>
      <c r="C236" s="334" t="inlineStr">
        <is>
          <t>常用機選択</t>
        </is>
      </c>
      <c r="D236" s="335" t="n"/>
      <c r="E236" s="325" t="n"/>
      <c r="F236" s="325" t="n"/>
      <c r="G236" s="324" t="n"/>
      <c r="H236" s="325" t="n"/>
      <c r="I236" s="325" t="n"/>
      <c r="J236" s="9" t="n"/>
      <c r="K236" s="343" t="n"/>
      <c r="L236" s="343" t="n"/>
      <c r="M236" s="343" t="n"/>
      <c r="N236" s="9" t="n"/>
      <c r="O236" s="9" t="n"/>
    </row>
    <row r="237" ht="18" customHeight="1">
      <c r="A237" s="747" t="inlineStr">
        <is>
          <t xml:space="preserve">　○：良　　△：要注意　　×：要修理</t>
        </is>
      </c>
      <c r="B237" s="586" t="n"/>
      <c r="C237" s="586" t="n"/>
      <c r="D237" s="586" t="n"/>
      <c r="E237" s="586" t="n"/>
      <c r="F237" s="586" t="n"/>
      <c r="G237" s="586" t="n"/>
      <c r="H237" s="586" t="n"/>
      <c r="I237" s="586" t="n"/>
      <c r="J237" s="9" t="n"/>
      <c r="K237" s="9" t="n"/>
      <c r="L237" s="9" t="n"/>
      <c r="M237" s="9" t="n"/>
      <c r="N237" s="9" t="n"/>
      <c r="O237" s="9" t="n"/>
    </row>
    <row r="238" ht="22" customHeight="1">
      <c r="A238" s="299" t="inlineStr">
        <is>
          <t>機械設備日常点検表（２/３）</t>
        </is>
      </c>
      <c r="B238" s="594" t="n"/>
      <c r="C238" s="300" t="n"/>
      <c r="D238" s="594" t="n"/>
      <c r="E238" s="594" t="n"/>
      <c r="F238" s="594" t="n"/>
      <c r="G238" s="594" t="n"/>
      <c r="H238" s="300">
        <f>H178</f>
        <v/>
      </c>
      <c r="I238" s="594" t="n"/>
      <c r="J238" s="9" t="n"/>
      <c r="K238" s="9" t="n"/>
      <c r="L238" s="9" t="n"/>
      <c r="M238" s="9" t="n"/>
      <c r="N238" s="9" t="n"/>
      <c r="O238" s="9" t="n"/>
    </row>
    <row r="239" ht="18" customHeight="1">
      <c r="A239" s="726" t="inlineStr">
        <is>
          <t>機　器　名</t>
        </is>
      </c>
      <c r="B239" s="726" t="inlineStr">
        <is>
          <t>No</t>
        </is>
      </c>
      <c r="C239" s="726" t="inlineStr">
        <is>
          <t>点 検 者</t>
        </is>
      </c>
      <c r="D239" s="580" t="n"/>
      <c r="E239" s="726">
        <f>E179</f>
        <v/>
      </c>
      <c r="F239" s="726">
        <f>F179</f>
        <v/>
      </c>
      <c r="G239" s="302">
        <f>G179</f>
        <v/>
      </c>
      <c r="H239" s="726">
        <f>H179</f>
        <v/>
      </c>
      <c r="I239" s="726">
        <f>I179</f>
        <v/>
      </c>
      <c r="J239" s="9" t="n"/>
      <c r="K239" s="9" t="n"/>
      <c r="L239" s="9" t="n"/>
      <c r="M239" s="9" t="n"/>
      <c r="N239" s="9" t="n"/>
      <c r="O239" s="9" t="n"/>
    </row>
    <row r="240" ht="18" customHeight="1">
      <c r="A240" s="626" t="n"/>
      <c r="B240" s="626" t="n"/>
      <c r="C240" s="726" t="inlineStr">
        <is>
          <t>点検内容</t>
        </is>
      </c>
      <c r="D240" s="580" t="n"/>
      <c r="E240" s="931">
        <f>E180</f>
        <v/>
      </c>
      <c r="F240" s="931">
        <f>F180</f>
        <v/>
      </c>
      <c r="G240" s="930">
        <f>G180</f>
        <v/>
      </c>
      <c r="H240" s="931">
        <f>H180</f>
        <v/>
      </c>
      <c r="I240" s="931">
        <f>I180</f>
        <v/>
      </c>
      <c r="J240" s="9" t="n"/>
      <c r="K240" s="9" t="n"/>
      <c r="L240" s="9" t="n"/>
      <c r="M240" s="9" t="n"/>
      <c r="N240" s="9" t="n"/>
      <c r="O240" s="9" t="n"/>
    </row>
    <row r="241">
      <c r="A241" s="741" t="inlineStr">
        <is>
          <t>余剰汚泥ポンプ</t>
        </is>
      </c>
      <c r="B241" s="726" t="n">
        <v>1</v>
      </c>
      <c r="C241" s="310" t="inlineStr">
        <is>
          <t>電流値</t>
        </is>
      </c>
      <c r="D241" s="734" t="inlineStr">
        <is>
          <t>Ａ</t>
        </is>
      </c>
      <c r="E241" s="933" t="n"/>
      <c r="F241" s="933" t="n"/>
      <c r="G241" s="932" t="n"/>
      <c r="H241" s="933" t="n"/>
      <c r="I241" s="933" t="n"/>
      <c r="J241" s="9" t="n"/>
      <c r="K241" s="9" t="n"/>
      <c r="L241" s="9" t="n"/>
      <c r="M241" s="938" t="n"/>
      <c r="N241" s="9" t="n"/>
      <c r="O241" s="9" t="n"/>
    </row>
    <row r="242">
      <c r="A242" s="679" t="n"/>
      <c r="B242" s="679" t="n"/>
      <c r="C242" s="314">
        <f>C230</f>
        <v/>
      </c>
      <c r="D242" s="315" t="inlineStr">
        <is>
          <t>Mpa</t>
        </is>
      </c>
      <c r="E242" s="317" t="n"/>
      <c r="F242" s="317" t="n"/>
      <c r="G242" s="316" t="n"/>
      <c r="H242" s="317" t="n"/>
      <c r="I242" s="317" t="n"/>
      <c r="J242" s="9" t="n"/>
      <c r="K242" s="9" t="n"/>
      <c r="L242" s="9" t="n"/>
      <c r="M242" s="345" t="n"/>
      <c r="N242" s="9" t="n"/>
      <c r="O242" s="9" t="n"/>
    </row>
    <row r="243">
      <c r="A243" s="679" t="n"/>
      <c r="B243" s="679" t="n"/>
      <c r="C243" s="330" t="inlineStr">
        <is>
          <t>異音、振動</t>
        </is>
      </c>
      <c r="D243" s="331" t="n"/>
      <c r="E243" s="329" t="n"/>
      <c r="F243" s="329" t="n"/>
      <c r="G243" s="328" t="n"/>
      <c r="H243" s="329" t="n"/>
      <c r="I243" s="329" t="n"/>
      <c r="J243" s="9" t="n"/>
      <c r="K243" s="9" t="n"/>
      <c r="L243" s="9" t="n"/>
      <c r="M243" s="345" t="n"/>
      <c r="N243" s="9" t="n"/>
      <c r="O243" s="9" t="n"/>
    </row>
    <row r="244">
      <c r="A244" s="679" t="n"/>
      <c r="B244" s="679" t="n"/>
      <c r="C244" s="314" t="inlineStr">
        <is>
          <t>液漏れ</t>
        </is>
      </c>
      <c r="D244" s="315" t="n"/>
      <c r="E244" s="317" t="n"/>
      <c r="F244" s="317" t="n"/>
      <c r="G244" s="316" t="n"/>
      <c r="H244" s="317" t="n"/>
      <c r="I244" s="317" t="n"/>
      <c r="J244" s="9" t="n"/>
      <c r="K244" s="9" t="n"/>
      <c r="L244" s="9" t="n"/>
      <c r="M244" s="345" t="n"/>
      <c r="N244" s="9" t="n"/>
      <c r="O244" s="9" t="n"/>
    </row>
    <row r="245">
      <c r="A245" s="679" t="n"/>
      <c r="B245" s="626" t="n"/>
      <c r="C245" s="318" t="inlineStr">
        <is>
          <t>モード確認</t>
        </is>
      </c>
      <c r="D245" s="319" t="n"/>
      <c r="E245" s="325" t="n"/>
      <c r="F245" s="325" t="n"/>
      <c r="G245" s="324" t="n"/>
      <c r="H245" s="325" t="n"/>
      <c r="I245" s="325" t="n"/>
      <c r="J245" s="9" t="n"/>
      <c r="K245" s="9" t="n"/>
      <c r="L245" s="9" t="n"/>
      <c r="M245" s="345" t="n"/>
      <c r="N245" s="9" t="n"/>
      <c r="O245" s="9" t="n"/>
    </row>
    <row r="246">
      <c r="A246" s="679" t="n"/>
      <c r="B246" s="726" t="n">
        <v>2</v>
      </c>
      <c r="C246" s="310" t="inlineStr">
        <is>
          <t>電流値</t>
        </is>
      </c>
      <c r="D246" s="734" t="inlineStr">
        <is>
          <t>Ａ</t>
        </is>
      </c>
      <c r="E246" s="933" t="n"/>
      <c r="F246" s="933" t="n"/>
      <c r="G246" s="932" t="n"/>
      <c r="H246" s="933" t="n"/>
      <c r="I246" s="933" t="n"/>
      <c r="J246" s="9" t="n"/>
      <c r="K246" s="9" t="n"/>
      <c r="L246" s="9" t="n"/>
      <c r="M246" s="9" t="n"/>
      <c r="N246" s="9" t="n"/>
      <c r="O246" s="9" t="n"/>
    </row>
    <row r="247">
      <c r="A247" s="679" t="n"/>
      <c r="B247" s="679" t="n"/>
      <c r="C247" s="314">
        <f>C242</f>
        <v/>
      </c>
      <c r="D247" s="315" t="inlineStr">
        <is>
          <t>Mpa</t>
        </is>
      </c>
      <c r="E247" s="317" t="n"/>
      <c r="F247" s="317" t="n"/>
      <c r="G247" s="316" t="n"/>
      <c r="H247" s="317" t="n"/>
      <c r="I247" s="317" t="n"/>
      <c r="J247" s="9" t="n"/>
      <c r="K247" s="9" t="n"/>
      <c r="L247" s="9" t="n"/>
      <c r="M247" s="9" t="n"/>
      <c r="N247" s="9" t="n"/>
      <c r="O247" s="9" t="n"/>
    </row>
    <row r="248">
      <c r="A248" s="679" t="n"/>
      <c r="B248" s="679" t="n"/>
      <c r="C248" s="330" t="inlineStr">
        <is>
          <t>異音、振動</t>
        </is>
      </c>
      <c r="D248" s="331" t="n"/>
      <c r="E248" s="329" t="n"/>
      <c r="F248" s="329" t="n"/>
      <c r="G248" s="328" t="n"/>
      <c r="H248" s="329" t="n"/>
      <c r="I248" s="329" t="n"/>
      <c r="J248" s="9" t="n"/>
      <c r="K248" s="9" t="n"/>
      <c r="L248" s="9" t="n"/>
      <c r="M248" s="9" t="n"/>
      <c r="N248" s="9" t="n"/>
      <c r="O248" s="9" t="n"/>
    </row>
    <row r="249">
      <c r="A249" s="679" t="n"/>
      <c r="B249" s="679" t="n"/>
      <c r="C249" s="314" t="inlineStr">
        <is>
          <t>液漏れ</t>
        </is>
      </c>
      <c r="D249" s="315" t="n"/>
      <c r="E249" s="317" t="n"/>
      <c r="F249" s="317" t="n"/>
      <c r="G249" s="316" t="n"/>
      <c r="H249" s="317" t="n"/>
      <c r="I249" s="317" t="n"/>
      <c r="J249" s="9" t="n"/>
      <c r="K249" s="9" t="n"/>
      <c r="L249" s="9" t="n"/>
      <c r="M249" s="9" t="n"/>
      <c r="N249" s="9" t="n"/>
      <c r="O249" s="9" t="n"/>
    </row>
    <row r="250">
      <c r="A250" s="626" t="n"/>
      <c r="B250" s="626" t="n"/>
      <c r="C250" s="318" t="inlineStr">
        <is>
          <t>モード確認</t>
        </is>
      </c>
      <c r="D250" s="319" t="n"/>
      <c r="E250" s="325" t="n"/>
      <c r="F250" s="325" t="n"/>
      <c r="G250" s="324" t="n"/>
      <c r="H250" s="325" t="n"/>
      <c r="I250" s="325" t="n"/>
      <c r="J250" s="9" t="n"/>
      <c r="K250" s="9" t="n"/>
      <c r="L250" s="9" t="n"/>
      <c r="M250" s="9" t="n"/>
      <c r="N250" s="9" t="n"/>
      <c r="O250" s="9" t="n"/>
    </row>
    <row r="251">
      <c r="A251" s="727" t="inlineStr">
        <is>
          <t>終沈床排水ポンプ</t>
        </is>
      </c>
      <c r="B251" s="726" t="inlineStr">
        <is>
          <t>―</t>
        </is>
      </c>
      <c r="C251" s="341" t="inlineStr">
        <is>
          <t>電流値</t>
        </is>
      </c>
      <c r="D251" s="342" t="inlineStr">
        <is>
          <t>Ａ</t>
        </is>
      </c>
      <c r="E251" s="935" t="n"/>
      <c r="F251" s="935" t="n"/>
      <c r="G251" s="934" t="n"/>
      <c r="H251" s="935" t="n"/>
      <c r="I251" s="935" t="n"/>
      <c r="J251" s="9" t="n"/>
      <c r="K251" s="9" t="n"/>
      <c r="L251" s="9" t="n"/>
      <c r="M251" s="9" t="n"/>
      <c r="N251" s="9" t="n"/>
      <c r="O251" s="9" t="n"/>
    </row>
    <row r="252">
      <c r="A252" s="679" t="n"/>
      <c r="B252" s="679" t="n"/>
      <c r="C252" s="330" t="inlineStr">
        <is>
          <t>吐出圧力</t>
        </is>
      </c>
      <c r="D252" s="331" t="inlineStr">
        <is>
          <t>Mpa</t>
        </is>
      </c>
      <c r="E252" s="329" t="n"/>
      <c r="F252" s="329" t="n"/>
      <c r="G252" s="328" t="n"/>
      <c r="H252" s="329" t="n"/>
      <c r="I252" s="329" t="n"/>
      <c r="J252" s="9" t="n"/>
      <c r="K252" s="9" t="n"/>
      <c r="L252" s="9" t="n"/>
      <c r="M252" s="9" t="n"/>
      <c r="N252" s="9" t="n"/>
      <c r="O252" s="9" t="n"/>
    </row>
    <row r="253">
      <c r="A253" s="679" t="n"/>
      <c r="B253" s="679" t="n"/>
      <c r="C253" s="314">
        <f>C248</f>
        <v/>
      </c>
      <c r="D253" s="315" t="n"/>
      <c r="E253" s="317" t="n"/>
      <c r="F253" s="317" t="n"/>
      <c r="G253" s="316" t="n"/>
      <c r="H253" s="317" t="n"/>
      <c r="I253" s="317" t="n"/>
      <c r="J253" s="9" t="n"/>
      <c r="K253" s="9" t="n"/>
      <c r="L253" s="9" t="n"/>
      <c r="M253" s="9" t="n"/>
      <c r="N253" s="9" t="n"/>
      <c r="O253" s="9" t="n"/>
    </row>
    <row r="254">
      <c r="A254" s="626" t="n"/>
      <c r="B254" s="626" t="n"/>
      <c r="C254" s="318">
        <f>C250</f>
        <v/>
      </c>
      <c r="D254" s="319" t="n"/>
      <c r="E254" s="325" t="n"/>
      <c r="F254" s="325" t="n"/>
      <c r="G254" s="324" t="n"/>
      <c r="H254" s="325" t="n"/>
      <c r="I254" s="325" t="n"/>
      <c r="J254" s="9" t="n"/>
      <c r="K254" s="9" t="n"/>
      <c r="L254" s="9" t="n"/>
      <c r="M254" s="9" t="n"/>
      <c r="N254" s="9" t="n"/>
      <c r="O254" s="9" t="n"/>
    </row>
    <row r="255">
      <c r="A255" s="727" t="inlineStr">
        <is>
          <t>返流水ポンプ</t>
        </is>
      </c>
      <c r="B255" s="728" t="inlineStr">
        <is>
          <t>№1</t>
        </is>
      </c>
      <c r="C255" s="314" t="inlineStr">
        <is>
          <t>吐出圧力</t>
        </is>
      </c>
      <c r="D255" s="315" t="inlineStr">
        <is>
          <t>Mpa</t>
        </is>
      </c>
      <c r="E255" s="317" t="n"/>
      <c r="F255" s="317" t="n"/>
      <c r="G255" s="316" t="n"/>
      <c r="H255" s="317" t="n"/>
      <c r="I255" s="317" t="n"/>
      <c r="J255" s="9" t="n"/>
      <c r="K255" s="9" t="n"/>
      <c r="L255" s="9" t="n"/>
      <c r="M255" s="9" t="n"/>
      <c r="N255" s="9" t="n"/>
      <c r="O255" s="9" t="n"/>
    </row>
    <row r="256">
      <c r="A256" s="679" t="n"/>
      <c r="B256" s="626" t="n"/>
      <c r="C256" s="318" t="inlineStr">
        <is>
          <t>異音、振動</t>
        </is>
      </c>
      <c r="D256" s="319" t="n"/>
      <c r="E256" s="321" t="n"/>
      <c r="F256" s="321" t="n"/>
      <c r="G256" s="320" t="n"/>
      <c r="H256" s="321" t="n"/>
      <c r="I256" s="321" t="n"/>
      <c r="J256" s="9" t="n"/>
      <c r="K256" s="9" t="n"/>
      <c r="L256" s="9" t="n"/>
      <c r="M256" s="9" t="n"/>
      <c r="N256" s="9" t="n"/>
      <c r="O256" s="9" t="n"/>
    </row>
    <row r="257">
      <c r="A257" s="679" t="n"/>
      <c r="B257" s="728" t="inlineStr">
        <is>
          <t>№2</t>
        </is>
      </c>
      <c r="C257" s="314">
        <f>C255</f>
        <v/>
      </c>
      <c r="D257" s="315" t="inlineStr">
        <is>
          <t>Mpa</t>
        </is>
      </c>
      <c r="E257" s="317" t="n"/>
      <c r="F257" s="317" t="n"/>
      <c r="G257" s="316" t="n"/>
      <c r="H257" s="317" t="n"/>
      <c r="I257" s="317" t="n"/>
      <c r="J257" s="9" t="n"/>
      <c r="K257" s="9" t="n"/>
      <c r="L257" s="9" t="n"/>
      <c r="M257" s="9" t="n"/>
      <c r="N257" s="9" t="n"/>
      <c r="O257" s="9" t="n"/>
    </row>
    <row r="258">
      <c r="A258" s="679" t="n"/>
      <c r="B258" s="626" t="n"/>
      <c r="C258" s="318" t="inlineStr">
        <is>
          <t>異音、振動</t>
        </is>
      </c>
      <c r="D258" s="319" t="n"/>
      <c r="E258" s="321" t="n"/>
      <c r="F258" s="321" t="n"/>
      <c r="G258" s="320" t="n"/>
      <c r="H258" s="321" t="n"/>
      <c r="I258" s="321" t="n"/>
      <c r="J258" s="9" t="n"/>
      <c r="K258" s="9" t="n"/>
      <c r="L258" s="9" t="n"/>
      <c r="M258" s="9" t="n"/>
      <c r="N258" s="9" t="n"/>
      <c r="O258" s="9" t="n"/>
    </row>
    <row r="259">
      <c r="A259" s="679" t="n"/>
      <c r="B259" s="728" t="inlineStr">
        <is>
          <t>―</t>
        </is>
      </c>
      <c r="C259" s="310" t="inlineStr">
        <is>
          <t>モード確認</t>
        </is>
      </c>
      <c r="D259" s="734" t="n"/>
      <c r="E259" s="333" t="n"/>
      <c r="F259" s="333" t="n"/>
      <c r="G259" s="332" t="n"/>
      <c r="H259" s="333" t="n"/>
      <c r="I259" s="333" t="n"/>
      <c r="J259" s="9" t="n"/>
      <c r="K259" s="9" t="n"/>
      <c r="L259" s="9" t="n"/>
      <c r="M259" s="9" t="n"/>
      <c r="N259" s="9" t="n"/>
      <c r="O259" s="9" t="n"/>
    </row>
    <row r="260" ht="18" customHeight="1">
      <c r="A260" s="626" t="n"/>
      <c r="B260" s="626" t="n"/>
      <c r="C260" s="742" t="inlineStr">
        <is>
          <t>機種選択</t>
        </is>
      </c>
      <c r="D260" s="731" t="n"/>
      <c r="E260" s="325" t="n"/>
      <c r="F260" s="325" t="n"/>
      <c r="G260" s="324" t="n"/>
      <c r="H260" s="325" t="n"/>
      <c r="I260" s="325" t="n"/>
      <c r="J260" s="9" t="n"/>
      <c r="K260" s="9" t="n"/>
      <c r="L260" s="9" t="n"/>
      <c r="M260" s="9" t="n"/>
      <c r="N260" s="9" t="n"/>
      <c r="O260" s="9" t="n"/>
    </row>
    <row r="261">
      <c r="A261" s="741" t="inlineStr">
        <is>
          <t>濃縮汚泥引抜         ポンプ</t>
        </is>
      </c>
      <c r="B261" s="726" t="n">
        <v>1</v>
      </c>
      <c r="C261" s="310" t="inlineStr">
        <is>
          <t>電流値</t>
        </is>
      </c>
      <c r="D261" s="734" t="inlineStr">
        <is>
          <t>Ａ</t>
        </is>
      </c>
      <c r="E261" s="933" t="n"/>
      <c r="F261" s="933" t="n"/>
      <c r="G261" s="932" t="n"/>
      <c r="H261" s="933" t="n"/>
      <c r="I261" s="933" t="n"/>
      <c r="J261" s="9" t="n"/>
      <c r="K261" s="9" t="n"/>
      <c r="L261" s="9" t="n"/>
      <c r="M261" s="938" t="n"/>
      <c r="N261" s="9" t="n"/>
      <c r="O261" s="9" t="n"/>
    </row>
    <row r="262">
      <c r="A262" s="679" t="n"/>
      <c r="B262" s="679" t="n"/>
      <c r="C262" s="314" t="inlineStr">
        <is>
          <t>吐出圧力</t>
        </is>
      </c>
      <c r="D262" s="315" t="inlineStr">
        <is>
          <t>Mpa</t>
        </is>
      </c>
      <c r="E262" s="323" t="n"/>
      <c r="F262" s="323" t="n"/>
      <c r="G262" s="322" t="n"/>
      <c r="H262" s="323" t="n"/>
      <c r="I262" s="323" t="n"/>
      <c r="J262" s="9" t="n"/>
      <c r="K262" s="9" t="n"/>
      <c r="L262" s="9" t="n"/>
      <c r="M262" s="345" t="n"/>
      <c r="N262" s="9" t="n"/>
      <c r="O262" s="9" t="n"/>
    </row>
    <row r="263">
      <c r="A263" s="679" t="n"/>
      <c r="B263" s="626" t="n"/>
      <c r="C263" s="318" t="inlineStr">
        <is>
          <t>異音、振動</t>
        </is>
      </c>
      <c r="D263" s="319" t="n"/>
      <c r="E263" s="325" t="n"/>
      <c r="F263" s="325" t="n"/>
      <c r="G263" s="324" t="n"/>
      <c r="H263" s="325" t="n"/>
      <c r="I263" s="325" t="n"/>
      <c r="J263" s="9" t="n"/>
      <c r="K263" s="9" t="n"/>
      <c r="L263" s="9" t="n"/>
      <c r="M263" s="345" t="n"/>
      <c r="N263" s="9" t="n"/>
      <c r="O263" s="9" t="n"/>
    </row>
    <row r="264">
      <c r="A264" s="679" t="n"/>
      <c r="B264" s="726" t="n">
        <v>2</v>
      </c>
      <c r="C264" s="310" t="inlineStr">
        <is>
          <t>電流値</t>
        </is>
      </c>
      <c r="D264" s="734" t="inlineStr">
        <is>
          <t>Ａ</t>
        </is>
      </c>
      <c r="E264" s="933" t="n"/>
      <c r="F264" s="933" t="n"/>
      <c r="G264" s="933" t="n"/>
      <c r="H264" s="933" t="n"/>
      <c r="I264" s="933" t="n"/>
      <c r="J264" s="9" t="n"/>
      <c r="K264" s="9" t="n"/>
      <c r="L264" s="9" t="n"/>
      <c r="M264" s="9" t="n"/>
      <c r="N264" s="9" t="n"/>
      <c r="O264" s="9" t="n"/>
    </row>
    <row r="265">
      <c r="A265" s="679" t="n"/>
      <c r="B265" s="679" t="n"/>
      <c r="C265" s="314" t="inlineStr">
        <is>
          <t>吐出圧力</t>
        </is>
      </c>
      <c r="D265" s="315" t="inlineStr">
        <is>
          <t>Mpa</t>
        </is>
      </c>
      <c r="E265" s="323" t="n"/>
      <c r="F265" s="323" t="n"/>
      <c r="G265" s="323" t="n"/>
      <c r="H265" s="323" t="n"/>
      <c r="I265" s="323" t="n"/>
      <c r="J265" s="9" t="n"/>
      <c r="K265" s="9" t="n"/>
      <c r="L265" s="9" t="n"/>
      <c r="M265" s="9" t="n"/>
      <c r="N265" s="9" t="n"/>
      <c r="O265" s="9" t="n"/>
    </row>
    <row r="266">
      <c r="A266" s="679" t="n"/>
      <c r="B266" s="626" t="n"/>
      <c r="C266" s="318">
        <f>C263</f>
        <v/>
      </c>
      <c r="D266" s="319" t="n"/>
      <c r="E266" s="325" t="n"/>
      <c r="F266" s="325" t="n"/>
      <c r="G266" s="325" t="n"/>
      <c r="H266" s="325" t="n"/>
      <c r="I266" s="325" t="n"/>
      <c r="J266" s="9" t="n"/>
      <c r="K266" s="9" t="n"/>
      <c r="L266" s="9" t="n"/>
      <c r="M266" s="9" t="n"/>
      <c r="N266" s="9" t="n"/>
      <c r="O266" s="9" t="n"/>
    </row>
    <row r="267">
      <c r="A267" s="679" t="n"/>
      <c r="B267" s="726" t="inlineStr">
        <is>
          <t>―</t>
        </is>
      </c>
      <c r="C267" s="310" t="inlineStr">
        <is>
          <t>モード確認</t>
        </is>
      </c>
      <c r="D267" s="734" t="n"/>
      <c r="E267" s="333" t="n"/>
      <c r="F267" s="333" t="n"/>
      <c r="G267" s="332" t="n"/>
      <c r="H267" s="333" t="n"/>
      <c r="I267" s="333" t="n"/>
      <c r="J267" s="9" t="n"/>
      <c r="K267" s="9" t="n"/>
      <c r="L267" s="9" t="n"/>
      <c r="M267" s="9" t="n"/>
      <c r="N267" s="9" t="n"/>
      <c r="O267" s="9" t="n"/>
    </row>
    <row r="268" ht="18" customHeight="1">
      <c r="A268" s="626" t="n"/>
      <c r="B268" s="626" t="n"/>
      <c r="C268" s="742" t="inlineStr">
        <is>
          <t>機種選択</t>
        </is>
      </c>
      <c r="D268" s="731" t="n"/>
      <c r="E268" s="325" t="n"/>
      <c r="F268" s="325" t="n"/>
      <c r="G268" s="325" t="n"/>
      <c r="H268" s="325" t="n"/>
      <c r="I268" s="325" t="n"/>
      <c r="J268" s="9" t="n"/>
      <c r="K268" s="9" t="n"/>
      <c r="L268" s="9" t="n"/>
      <c r="M268" s="9" t="n"/>
      <c r="N268" s="9" t="n"/>
      <c r="O268" s="9" t="n"/>
    </row>
    <row r="269">
      <c r="A269" s="741" t="inlineStr">
        <is>
          <t>濃縮汚泥引抜弁</t>
        </is>
      </c>
      <c r="B269" s="740" t="inlineStr">
        <is>
          <t>―</t>
        </is>
      </c>
      <c r="C269" s="330" t="inlineStr">
        <is>
          <t>電流値</t>
        </is>
      </c>
      <c r="D269" s="331" t="inlineStr">
        <is>
          <t>Ａ</t>
        </is>
      </c>
      <c r="E269" s="349" t="n"/>
      <c r="F269" s="349" t="n"/>
      <c r="G269" s="348" t="n"/>
      <c r="H269" s="349" t="n"/>
      <c r="I269" s="349" t="n"/>
      <c r="J269" s="9" t="n"/>
      <c r="K269" s="9" t="n"/>
      <c r="L269" s="9" t="n"/>
      <c r="M269" s="9" t="n"/>
      <c r="N269" s="387" t="n"/>
      <c r="O269" s="9" t="n"/>
    </row>
    <row r="270">
      <c r="A270" s="679" t="n"/>
      <c r="B270" s="679" t="n"/>
      <c r="C270" s="314" t="inlineStr">
        <is>
          <t>異音、振動</t>
        </is>
      </c>
      <c r="D270" s="315" t="n"/>
      <c r="E270" s="317" t="n"/>
      <c r="F270" s="317" t="n"/>
      <c r="G270" s="316" t="n"/>
      <c r="H270" s="317" t="n"/>
      <c r="I270" s="317" t="n"/>
      <c r="J270" s="9" t="n"/>
      <c r="K270" s="9" t="n"/>
      <c r="L270" s="9" t="n"/>
      <c r="M270" s="9" t="n"/>
      <c r="N270" s="345" t="n"/>
      <c r="O270" s="9" t="n"/>
    </row>
    <row r="271">
      <c r="A271" s="679" t="n"/>
      <c r="B271" s="679" t="n"/>
      <c r="C271" s="330" t="inlineStr">
        <is>
          <t>動作状況</t>
        </is>
      </c>
      <c r="D271" s="331" t="n"/>
      <c r="E271" s="329" t="n"/>
      <c r="F271" s="329" t="n"/>
      <c r="G271" s="328" t="n"/>
      <c r="H271" s="329" t="n"/>
      <c r="I271" s="329" t="n"/>
      <c r="J271" s="9" t="n"/>
      <c r="K271" s="9" t="n"/>
      <c r="L271" s="9" t="n"/>
      <c r="M271" s="9" t="n"/>
      <c r="N271" s="345" t="n"/>
      <c r="O271" s="9" t="n"/>
    </row>
    <row r="272" ht="18" customHeight="1">
      <c r="A272" s="626" t="n"/>
      <c r="B272" s="679" t="n"/>
      <c r="C272" s="742" t="inlineStr">
        <is>
          <t>モード確認</t>
        </is>
      </c>
      <c r="D272" s="731" t="n"/>
      <c r="E272" s="325" t="n"/>
      <c r="F272" s="325" t="n"/>
      <c r="G272" s="324" t="n"/>
      <c r="H272" s="325" t="n"/>
      <c r="I272" s="325" t="n"/>
      <c r="J272" s="9" t="n"/>
      <c r="K272" s="9" t="n"/>
      <c r="L272" s="76" t="n"/>
      <c r="M272" s="76" t="n"/>
      <c r="N272" s="9" t="n"/>
      <c r="O272" s="9" t="n"/>
    </row>
    <row r="273">
      <c r="A273" s="727" t="inlineStr">
        <is>
          <t>汚泥ポンプ室　　　　　床排水ポンプ</t>
        </is>
      </c>
      <c r="B273" s="726" t="inlineStr">
        <is>
          <t>―</t>
        </is>
      </c>
      <c r="C273" s="341" t="inlineStr">
        <is>
          <t>電流値</t>
        </is>
      </c>
      <c r="D273" s="342" t="inlineStr">
        <is>
          <t>Ａ</t>
        </is>
      </c>
      <c r="E273" s="935" t="n"/>
      <c r="F273" s="935" t="n"/>
      <c r="G273" s="934" t="n"/>
      <c r="H273" s="935" t="n"/>
      <c r="I273" s="935" t="n"/>
      <c r="J273" s="9" t="n"/>
      <c r="K273" s="9" t="n"/>
      <c r="L273" s="9" t="n"/>
      <c r="M273" s="9" t="n"/>
      <c r="N273" s="9" t="n"/>
      <c r="O273" s="9" t="n"/>
    </row>
    <row r="274">
      <c r="A274" s="679" t="n"/>
      <c r="B274" s="679" t="n"/>
      <c r="C274" s="330" t="inlineStr">
        <is>
          <t>吐出圧力</t>
        </is>
      </c>
      <c r="D274" s="331" t="inlineStr">
        <is>
          <t>Mpa</t>
        </is>
      </c>
      <c r="E274" s="329" t="n"/>
      <c r="F274" s="329" t="n"/>
      <c r="G274" s="328" t="n"/>
      <c r="H274" s="329" t="n"/>
      <c r="I274" s="329" t="n"/>
      <c r="J274" s="9" t="n"/>
      <c r="K274" s="9" t="n"/>
      <c r="L274" s="9" t="n"/>
      <c r="M274" s="9" t="n"/>
      <c r="N274" s="9" t="n"/>
      <c r="O274" s="9" t="n"/>
    </row>
    <row r="275">
      <c r="A275" s="679" t="n"/>
      <c r="B275" s="679" t="n"/>
      <c r="C275" s="314">
        <f>C266</f>
        <v/>
      </c>
      <c r="D275" s="315" t="n"/>
      <c r="E275" s="317" t="n"/>
      <c r="F275" s="317" t="n"/>
      <c r="G275" s="316" t="n"/>
      <c r="H275" s="317" t="n"/>
      <c r="I275" s="317" t="n"/>
      <c r="J275" s="9" t="n"/>
      <c r="K275" s="9" t="n"/>
      <c r="L275" s="9" t="n"/>
      <c r="M275" s="9" t="n"/>
      <c r="N275" s="9" t="n"/>
      <c r="O275" s="9" t="n"/>
    </row>
    <row r="276">
      <c r="A276" s="626" t="n"/>
      <c r="B276" s="626" t="n"/>
      <c r="C276" s="318" t="inlineStr">
        <is>
          <t>モード確認</t>
        </is>
      </c>
      <c r="D276" s="319" t="n"/>
      <c r="E276" s="325" t="n"/>
      <c r="F276" s="325" t="n"/>
      <c r="G276" s="324" t="n"/>
      <c r="H276" s="325" t="n"/>
      <c r="I276" s="325" t="n"/>
      <c r="J276" s="9" t="n"/>
      <c r="K276" s="9" t="n"/>
      <c r="L276" s="9" t="n"/>
      <c r="M276" s="9" t="n"/>
      <c r="N276" s="9" t="n"/>
      <c r="O276" s="9" t="n"/>
    </row>
    <row r="277">
      <c r="A277" s="756" t="inlineStr">
        <is>
          <t>濃縮汚泥掻寄機</t>
        </is>
      </c>
      <c r="B277" s="726" t="n"/>
      <c r="C277" s="341" t="inlineStr">
        <is>
          <t>電流値</t>
        </is>
      </c>
      <c r="D277" s="342" t="inlineStr">
        <is>
          <t>Ａ</t>
        </is>
      </c>
      <c r="E277" s="339" t="n"/>
      <c r="F277" s="339" t="n"/>
      <c r="G277" s="338" t="n"/>
      <c r="H277" s="339" t="n"/>
      <c r="I277" s="339" t="n"/>
      <c r="J277" s="9" t="n"/>
      <c r="K277" s="9" t="n"/>
      <c r="L277" s="9" t="n"/>
      <c r="M277" s="9" t="n"/>
      <c r="N277" s="9" t="n"/>
      <c r="O277" s="9" t="n"/>
    </row>
    <row r="278">
      <c r="A278" s="626" t="n"/>
      <c r="B278" s="626" t="n"/>
      <c r="C278" s="318" t="inlineStr">
        <is>
          <t>異音、振動</t>
        </is>
      </c>
      <c r="D278" s="319" t="n"/>
      <c r="E278" s="329" t="n"/>
      <c r="F278" s="329" t="n"/>
      <c r="G278" s="328" t="n"/>
      <c r="H278" s="329" t="n"/>
      <c r="I278" s="329" t="n"/>
      <c r="J278" s="9" t="n"/>
      <c r="K278" s="9" t="n"/>
      <c r="L278" s="9" t="n"/>
      <c r="M278" s="9" t="n"/>
      <c r="N278" s="9" t="n"/>
      <c r="O278" s="9" t="n"/>
    </row>
    <row r="279">
      <c r="A279" s="729" t="inlineStr">
        <is>
          <t>スカムスキマー</t>
        </is>
      </c>
      <c r="B279" s="726" t="n"/>
      <c r="C279" s="306" t="inlineStr">
        <is>
          <t>動作状況</t>
        </is>
      </c>
      <c r="D279" s="307" t="n"/>
      <c r="E279" s="309" t="n"/>
      <c r="F279" s="309" t="n"/>
      <c r="G279" s="308" t="n"/>
      <c r="H279" s="309" t="n"/>
      <c r="I279" s="309" t="n"/>
      <c r="J279" s="9" t="n"/>
      <c r="K279" s="9" t="n"/>
      <c r="L279" s="9" t="n"/>
      <c r="M279" s="9" t="n"/>
      <c r="N279" s="9" t="n"/>
      <c r="O279" s="9" t="n"/>
    </row>
    <row r="280">
      <c r="A280" s="741" t="inlineStr">
        <is>
          <t>汚泥供給ポンプ</t>
        </is>
      </c>
      <c r="B280" s="726" t="n">
        <v>1</v>
      </c>
      <c r="C280" s="310">
        <f>C274</f>
        <v/>
      </c>
      <c r="D280" s="734">
        <f>D274</f>
        <v/>
      </c>
      <c r="E280" s="333" t="n"/>
      <c r="F280" s="333" t="n"/>
      <c r="G280" s="332" t="n"/>
      <c r="H280" s="333" t="n"/>
      <c r="I280" s="333" t="n"/>
      <c r="J280" s="9" t="n"/>
      <c r="K280" s="9" t="n"/>
      <c r="L280" s="9" t="n"/>
      <c r="M280" s="9" t="n"/>
      <c r="N280" s="9" t="n"/>
      <c r="O280" s="9" t="n"/>
    </row>
    <row r="281">
      <c r="A281" s="679" t="n"/>
      <c r="B281" s="679" t="n"/>
      <c r="C281" s="314" t="inlineStr">
        <is>
          <t>異音、振動</t>
        </is>
      </c>
      <c r="D281" s="315" t="n"/>
      <c r="E281" s="317" t="n"/>
      <c r="F281" s="317" t="n"/>
      <c r="G281" s="316" t="n"/>
      <c r="H281" s="317" t="n"/>
      <c r="I281" s="317" t="n"/>
      <c r="J281" s="9" t="n"/>
      <c r="K281" s="9" t="n"/>
      <c r="L281" s="9" t="n"/>
      <c r="M281" s="9" t="n"/>
      <c r="N281" s="9" t="n"/>
      <c r="O281" s="9" t="n"/>
    </row>
    <row r="282">
      <c r="A282" s="679" t="n"/>
      <c r="B282" s="626" t="n"/>
      <c r="C282" s="318">
        <f>C249</f>
        <v/>
      </c>
      <c r="D282" s="319" t="n"/>
      <c r="E282" s="329" t="n"/>
      <c r="F282" s="329" t="n"/>
      <c r="G282" s="328" t="n"/>
      <c r="H282" s="329" t="n"/>
      <c r="I282" s="329" t="n"/>
      <c r="J282" s="9" t="n"/>
      <c r="K282" s="9" t="n"/>
      <c r="L282" s="9" t="n"/>
      <c r="M282" s="9" t="n"/>
      <c r="N282" s="9" t="n"/>
      <c r="O282" s="9" t="n"/>
    </row>
    <row r="283">
      <c r="A283" s="679" t="n"/>
      <c r="B283" s="726" t="n">
        <v>2</v>
      </c>
      <c r="C283" s="310">
        <f>C280</f>
        <v/>
      </c>
      <c r="D283" s="734">
        <f>D280</f>
        <v/>
      </c>
      <c r="E283" s="333" t="n"/>
      <c r="F283" s="333" t="n"/>
      <c r="G283" s="332" t="n"/>
      <c r="H283" s="333" t="n"/>
      <c r="I283" s="333" t="n"/>
      <c r="J283" s="9" t="n"/>
      <c r="K283" s="9" t="n"/>
      <c r="L283" s="9" t="n"/>
      <c r="M283" s="9" t="n"/>
      <c r="N283" s="9" t="n"/>
      <c r="O283" s="9" t="n"/>
    </row>
    <row r="284">
      <c r="A284" s="679" t="n"/>
      <c r="B284" s="679" t="n"/>
      <c r="C284" s="314">
        <f>C281</f>
        <v/>
      </c>
      <c r="D284" s="315" t="n"/>
      <c r="E284" s="317" t="n"/>
      <c r="F284" s="317" t="n"/>
      <c r="G284" s="316" t="n"/>
      <c r="H284" s="317" t="n"/>
      <c r="I284" s="317" t="n"/>
      <c r="J284" s="9" t="n"/>
      <c r="K284" s="9" t="n"/>
      <c r="L284" s="9" t="n"/>
      <c r="M284" s="9" t="n"/>
      <c r="N284" s="9" t="n"/>
      <c r="O284" s="9" t="n"/>
    </row>
    <row r="285">
      <c r="A285" s="626" t="n"/>
      <c r="B285" s="626" t="n"/>
      <c r="C285" s="318">
        <f>C282</f>
        <v/>
      </c>
      <c r="D285" s="319" t="n"/>
      <c r="E285" s="329" t="n"/>
      <c r="F285" s="329" t="n"/>
      <c r="G285" s="328" t="n"/>
      <c r="H285" s="329" t="n"/>
      <c r="I285" s="329" t="n"/>
      <c r="J285" s="9" t="n"/>
      <c r="K285" s="9" t="n"/>
      <c r="L285" s="9" t="n"/>
      <c r="M285" s="9" t="n"/>
      <c r="N285" s="9" t="n"/>
      <c r="O285" s="9" t="n"/>
    </row>
    <row r="286">
      <c r="A286" s="741" t="inlineStr">
        <is>
          <t>汚泥貯留槽攪拌機</t>
        </is>
      </c>
      <c r="B286" s="726" t="inlineStr">
        <is>
          <t>―</t>
        </is>
      </c>
      <c r="C286" s="310" t="inlineStr">
        <is>
          <t>電流値</t>
        </is>
      </c>
      <c r="D286" s="734" t="inlineStr">
        <is>
          <t>Ａ</t>
        </is>
      </c>
      <c r="E286" s="333" t="n"/>
      <c r="F286" s="933" t="n"/>
      <c r="G286" s="332" t="n"/>
      <c r="H286" s="333" t="n"/>
      <c r="I286" s="333" t="n"/>
      <c r="J286" s="9" t="n"/>
      <c r="K286" s="9" t="n"/>
      <c r="L286" s="9" t="n"/>
      <c r="M286" s="9" t="n"/>
      <c r="N286" s="9" t="n"/>
      <c r="O286" s="9" t="n"/>
    </row>
    <row r="287">
      <c r="A287" s="679" t="n"/>
      <c r="B287" s="679" t="n"/>
      <c r="C287" s="314">
        <f>C284</f>
        <v/>
      </c>
      <c r="D287" s="315" t="n"/>
      <c r="E287" s="317" t="n"/>
      <c r="F287" s="317" t="n"/>
      <c r="G287" s="316" t="n"/>
      <c r="H287" s="317" t="n"/>
      <c r="I287" s="317" t="n"/>
      <c r="J287" s="9" t="n"/>
      <c r="K287" s="9" t="n"/>
      <c r="L287" s="9" t="n"/>
      <c r="M287" s="9" t="n"/>
      <c r="N287" s="9" t="n"/>
      <c r="O287" s="9" t="n"/>
    </row>
    <row r="288">
      <c r="A288" s="626" t="n"/>
      <c r="B288" s="626" t="n"/>
      <c r="C288" s="318" t="inlineStr">
        <is>
          <t>モード確認</t>
        </is>
      </c>
      <c r="D288" s="319" t="n"/>
      <c r="E288" s="329" t="n"/>
      <c r="F288" s="329" t="n"/>
      <c r="G288" s="328" t="n"/>
      <c r="H288" s="329" t="n"/>
      <c r="I288" s="352" t="n"/>
      <c r="J288" s="9" t="n"/>
      <c r="K288" s="9" t="n"/>
      <c r="L288" s="9" t="n"/>
      <c r="M288" s="9" t="n"/>
      <c r="N288" s="9" t="n"/>
      <c r="O288" s="9" t="n"/>
    </row>
    <row r="289">
      <c r="A289" s="741" t="inlineStr">
        <is>
          <t>空気圧縮機</t>
        </is>
      </c>
      <c r="B289" s="726" t="inlineStr">
        <is>
          <t>―</t>
        </is>
      </c>
      <c r="C289" s="310" t="inlineStr">
        <is>
          <t>異音、振動等</t>
        </is>
      </c>
      <c r="D289" s="734" t="n"/>
      <c r="E289" s="327" t="n"/>
      <c r="F289" s="327" t="n"/>
      <c r="G289" s="326" t="n"/>
      <c r="H289" s="327" t="n"/>
      <c r="I289" s="327" t="n"/>
      <c r="J289" s="9" t="n"/>
      <c r="K289" s="9" t="n"/>
      <c r="L289" s="9" t="n"/>
      <c r="M289" s="9" t="n"/>
      <c r="N289" s="9" t="n"/>
      <c r="O289" s="9" t="n"/>
    </row>
    <row r="290">
      <c r="A290" s="626" t="n"/>
      <c r="B290" s="626" t="n"/>
      <c r="C290" s="334" t="inlineStr">
        <is>
          <t>安全弁等の動作確認</t>
        </is>
      </c>
      <c r="D290" s="335" t="n"/>
      <c r="E290" s="325" t="n"/>
      <c r="F290" s="325" t="n"/>
      <c r="G290" s="324" t="n"/>
      <c r="H290" s="325" t="n"/>
      <c r="I290" s="325" t="n"/>
      <c r="J290" s="9" t="n"/>
      <c r="K290" s="9" t="n"/>
      <c r="L290" s="9" t="n"/>
      <c r="M290" s="9" t="n"/>
      <c r="N290" s="9" t="n"/>
      <c r="O290" s="9" t="n"/>
    </row>
    <row r="291" ht="18" customHeight="1">
      <c r="A291" s="747" t="inlineStr">
        <is>
          <t xml:space="preserve">　○：良　　△：要注意　　×：要修理</t>
        </is>
      </c>
      <c r="B291" s="586" t="n"/>
      <c r="C291" s="586" t="n"/>
      <c r="D291" s="586" t="n"/>
      <c r="E291" s="586" t="n"/>
      <c r="F291" s="586" t="n"/>
      <c r="G291" s="586" t="n"/>
      <c r="H291" s="586" t="n"/>
      <c r="I291" s="586" t="n"/>
      <c r="J291" s="9" t="n"/>
      <c r="K291" s="9" t="n"/>
      <c r="L291" s="9" t="n"/>
      <c r="M291" s="9" t="n"/>
      <c r="N291" s="9" t="n"/>
      <c r="O291" s="9" t="n"/>
    </row>
    <row r="292">
      <c r="A292" s="353" t="n"/>
      <c r="B292" s="354" t="n"/>
      <c r="C292" s="353" t="n"/>
      <c r="D292" s="355" t="n"/>
      <c r="E292" s="356" t="n"/>
      <c r="F292" s="356" t="n"/>
      <c r="G292" s="356" t="n"/>
      <c r="H292" s="356" t="n"/>
      <c r="I292" s="356" t="n"/>
      <c r="J292" s="9" t="n"/>
      <c r="K292" s="9" t="n"/>
      <c r="L292" s="9" t="n"/>
      <c r="M292" s="9" t="n"/>
      <c r="N292" s="9" t="n"/>
      <c r="O292" s="9" t="n"/>
    </row>
    <row r="293">
      <c r="A293" s="357" t="n"/>
      <c r="B293" s="355" t="n"/>
      <c r="C293" s="357" t="n"/>
      <c r="D293" s="355" t="n"/>
      <c r="E293" s="356" t="n"/>
      <c r="F293" s="356" t="n"/>
      <c r="G293" s="356" t="n"/>
      <c r="H293" s="356" t="n"/>
      <c r="I293" s="356" t="n"/>
      <c r="J293" s="9" t="n"/>
      <c r="K293" s="9" t="n"/>
      <c r="L293" s="9" t="n"/>
      <c r="M293" s="9" t="n"/>
      <c r="N293" s="9" t="n"/>
      <c r="O293" s="9" t="n"/>
    </row>
    <row r="294" ht="22" customHeight="1">
      <c r="A294" s="299" t="inlineStr">
        <is>
          <t>機械設備日常点検表（３/３）</t>
        </is>
      </c>
      <c r="B294" s="594" t="n"/>
      <c r="C294" s="300" t="n"/>
      <c r="D294" s="594" t="n"/>
      <c r="E294" s="594" t="n"/>
      <c r="F294" s="594" t="n"/>
      <c r="G294" s="594" t="n"/>
      <c r="H294" s="300">
        <f>H178</f>
        <v/>
      </c>
      <c r="I294" s="594" t="n"/>
      <c r="J294" s="9" t="n"/>
      <c r="K294" s="9" t="n"/>
      <c r="L294" s="9" t="n"/>
      <c r="M294" s="9" t="n"/>
      <c r="N294" s="9" t="n"/>
      <c r="O294" s="9" t="n"/>
    </row>
    <row r="295" ht="18" customHeight="1">
      <c r="A295" s="726" t="inlineStr">
        <is>
          <t>機　器　名</t>
        </is>
      </c>
      <c r="B295" s="726" t="inlineStr">
        <is>
          <t>No</t>
        </is>
      </c>
      <c r="C295" s="726" t="inlineStr">
        <is>
          <t>点 検 者</t>
        </is>
      </c>
      <c r="D295" s="580" t="n"/>
      <c r="E295" s="726">
        <f>E179</f>
        <v/>
      </c>
      <c r="F295" s="726">
        <f>F179</f>
        <v/>
      </c>
      <c r="G295" s="302">
        <f>G179</f>
        <v/>
      </c>
      <c r="H295" s="726">
        <f>H179</f>
        <v/>
      </c>
      <c r="I295" s="726">
        <f>I179</f>
        <v/>
      </c>
      <c r="J295" s="9" t="n"/>
      <c r="K295" s="9" t="n"/>
      <c r="L295" s="9" t="n"/>
      <c r="M295" s="9" t="n"/>
      <c r="N295" s="9" t="n"/>
      <c r="O295" s="9" t="n"/>
    </row>
    <row r="296" ht="18" customHeight="1">
      <c r="A296" s="626" t="n"/>
      <c r="B296" s="626" t="n"/>
      <c r="C296" s="726" t="inlineStr">
        <is>
          <t>点検内容</t>
        </is>
      </c>
      <c r="D296" s="580" t="n"/>
      <c r="E296" s="931">
        <f>E180</f>
        <v/>
      </c>
      <c r="F296" s="931">
        <f>F180</f>
        <v/>
      </c>
      <c r="G296" s="930">
        <f>G180</f>
        <v/>
      </c>
      <c r="H296" s="931">
        <f>H180</f>
        <v/>
      </c>
      <c r="I296" s="931">
        <f>I180</f>
        <v/>
      </c>
      <c r="J296" s="9" t="n"/>
      <c r="K296" s="9" t="n"/>
      <c r="L296" s="9" t="n"/>
      <c r="M296" s="9" t="n"/>
      <c r="N296" s="9" t="n"/>
      <c r="O296" s="9" t="n"/>
    </row>
    <row r="297" ht="15" customHeight="1">
      <c r="A297" s="358" t="inlineStr">
        <is>
          <t>井水揚水ポンプ</t>
        </is>
      </c>
      <c r="B297" s="336" t="inlineStr">
        <is>
          <t>―</t>
        </is>
      </c>
      <c r="C297" s="330" t="inlineStr">
        <is>
          <t>異音、振動等</t>
        </is>
      </c>
      <c r="D297" s="331" t="n"/>
      <c r="E297" s="317" t="n"/>
      <c r="F297" s="317" t="n"/>
      <c r="G297" s="316" t="n"/>
      <c r="H297" s="317" t="n"/>
      <c r="I297" s="317" t="n"/>
      <c r="J297" s="9" t="n"/>
      <c r="K297" s="9" t="n"/>
      <c r="L297" s="9" t="n"/>
      <c r="M297" s="9" t="n"/>
      <c r="N297" s="9" t="n"/>
      <c r="O297" s="9" t="n"/>
    </row>
    <row r="298">
      <c r="A298" s="727" t="inlineStr">
        <is>
          <t>自動給水装置</t>
        </is>
      </c>
      <c r="B298" s="726" t="n">
        <v>1</v>
      </c>
      <c r="C298" s="310" t="inlineStr">
        <is>
          <t>電流値</t>
        </is>
      </c>
      <c r="D298" s="734" t="inlineStr">
        <is>
          <t>Ａ</t>
        </is>
      </c>
      <c r="E298" s="933" t="n"/>
      <c r="F298" s="933" t="n"/>
      <c r="G298" s="932" t="n"/>
      <c r="H298" s="933" t="n"/>
      <c r="I298" s="933" t="n"/>
      <c r="J298" s="9" t="n"/>
      <c r="K298" s="9" t="n"/>
      <c r="L298" s="9" t="n"/>
      <c r="M298" s="9" t="n"/>
      <c r="N298" s="9" t="n"/>
      <c r="O298" s="9" t="n"/>
    </row>
    <row r="299">
      <c r="A299" s="679" t="n"/>
      <c r="B299" s="626" t="n"/>
      <c r="C299" s="334" t="inlineStr">
        <is>
          <t>異音、振動等</t>
        </is>
      </c>
      <c r="D299" s="335" t="n"/>
      <c r="E299" s="325" t="n"/>
      <c r="F299" s="325" t="n"/>
      <c r="G299" s="324" t="n"/>
      <c r="H299" s="325" t="n"/>
      <c r="I299" s="325" t="n"/>
      <c r="J299" s="9" t="n"/>
      <c r="K299" s="9" t="n"/>
      <c r="L299" s="9" t="n"/>
      <c r="M299" s="9" t="n"/>
      <c r="N299" s="9" t="n"/>
      <c r="O299" s="9" t="n"/>
    </row>
    <row r="300">
      <c r="A300" s="679" t="n"/>
      <c r="B300" s="726" t="n">
        <v>2</v>
      </c>
      <c r="C300" s="310" t="inlineStr">
        <is>
          <t>電流値</t>
        </is>
      </c>
      <c r="D300" s="734" t="inlineStr">
        <is>
          <t>Ａ</t>
        </is>
      </c>
      <c r="E300" s="933" t="n"/>
      <c r="F300" s="933" t="n"/>
      <c r="G300" s="932" t="n"/>
      <c r="H300" s="933" t="n"/>
      <c r="I300" s="933" t="n"/>
      <c r="J300" s="9" t="n"/>
      <c r="K300" s="9" t="n"/>
      <c r="L300" s="9" t="n"/>
      <c r="M300" s="9" t="n"/>
      <c r="N300" s="9" t="n"/>
      <c r="O300" s="9" t="n"/>
    </row>
    <row r="301">
      <c r="A301" s="679" t="n"/>
      <c r="B301" s="626" t="n"/>
      <c r="C301" s="334" t="inlineStr">
        <is>
          <t>異音、振動等</t>
        </is>
      </c>
      <c r="D301" s="335" t="n"/>
      <c r="E301" s="325" t="n"/>
      <c r="F301" s="325" t="n"/>
      <c r="G301" s="324" t="n"/>
      <c r="H301" s="325" t="n"/>
      <c r="I301" s="325" t="n"/>
      <c r="J301" s="9" t="n"/>
      <c r="K301" s="9" t="n"/>
      <c r="L301" s="9" t="n"/>
      <c r="M301" s="9" t="n"/>
      <c r="N301" s="9" t="n"/>
      <c r="O301" s="9" t="n"/>
    </row>
    <row r="302">
      <c r="A302" s="626" t="n"/>
      <c r="B302" s="336" t="inlineStr">
        <is>
          <t>―</t>
        </is>
      </c>
      <c r="C302" s="310" t="inlineStr">
        <is>
          <t>モード確認</t>
        </is>
      </c>
      <c r="D302" s="734" t="n"/>
      <c r="E302" s="309" t="n"/>
      <c r="F302" s="309" t="n"/>
      <c r="G302" s="308" t="n"/>
      <c r="H302" s="309" t="n"/>
      <c r="I302" s="309" t="n"/>
      <c r="J302" s="9" t="n"/>
      <c r="K302" s="9" t="n"/>
      <c r="L302" s="9" t="n"/>
      <c r="M302" s="9" t="n"/>
      <c r="N302" s="9" t="n"/>
      <c r="O302" s="9" t="n"/>
    </row>
    <row r="303">
      <c r="A303" s="729" t="inlineStr">
        <is>
          <t>井水貯留槽</t>
        </is>
      </c>
      <c r="B303" s="726" t="inlineStr">
        <is>
          <t>―</t>
        </is>
      </c>
      <c r="C303" s="306" t="inlineStr">
        <is>
          <t>水漏れ</t>
        </is>
      </c>
      <c r="D303" s="307" t="n"/>
      <c r="E303" s="329" t="n"/>
      <c r="F303" s="329" t="n"/>
      <c r="G303" s="328" t="n"/>
      <c r="H303" s="329" t="n"/>
      <c r="I303" s="329" t="n"/>
      <c r="J303" s="9" t="n"/>
      <c r="K303" s="9" t="n"/>
      <c r="L303" s="9" t="n"/>
      <c r="M303" s="9" t="n"/>
      <c r="N303" s="9" t="n"/>
      <c r="O303" s="9" t="n"/>
    </row>
    <row r="304" ht="18" customHeight="1">
      <c r="A304" s="729" t="inlineStr">
        <is>
          <t>混和池ＢＧ</t>
        </is>
      </c>
      <c r="B304" s="726" t="inlineStr">
        <is>
          <t>―</t>
        </is>
      </c>
      <c r="C304" s="729" t="inlineStr">
        <is>
          <t>開閉</t>
        </is>
      </c>
      <c r="D304" s="580" t="n"/>
      <c r="E304" s="309" t="n"/>
      <c r="F304" s="309" t="n"/>
      <c r="G304" s="308" t="n"/>
      <c r="H304" s="309" t="n"/>
      <c r="I304" s="309" t="n"/>
      <c r="J304" s="9" t="n"/>
      <c r="K304" s="76" t="n"/>
      <c r="L304" s="76" t="n"/>
      <c r="M304" s="9" t="n"/>
      <c r="N304" s="9" t="n"/>
      <c r="O304" s="9" t="n"/>
    </row>
    <row r="305">
      <c r="A305" s="359" t="inlineStr">
        <is>
          <t>塩素接触装置</t>
        </is>
      </c>
      <c r="B305" s="726" t="inlineStr">
        <is>
          <t>―</t>
        </is>
      </c>
      <c r="C305" s="306" t="inlineStr">
        <is>
          <t>薬剤残量確認</t>
        </is>
      </c>
      <c r="D305" s="307" t="n"/>
      <c r="E305" s="323" t="n"/>
      <c r="F305" s="323" t="n"/>
      <c r="G305" s="322" t="n"/>
      <c r="H305" s="323" t="n"/>
      <c r="I305" s="323" t="n"/>
      <c r="J305" s="9" t="n"/>
      <c r="K305" s="9" t="n"/>
      <c r="L305" s="9" t="n"/>
      <c r="M305" s="9" t="n"/>
      <c r="N305" s="9" t="n"/>
      <c r="O305" s="9" t="n"/>
    </row>
    <row r="306" ht="18" customHeight="1">
      <c r="A306" s="727" t="inlineStr">
        <is>
          <t>臭気ガス吸引装置</t>
        </is>
      </c>
      <c r="B306" s="733" t="inlineStr">
        <is>
          <t>―</t>
        </is>
      </c>
      <c r="C306" s="735" t="inlineStr">
        <is>
          <t>ボルト・ナットの緩み</t>
        </is>
      </c>
      <c r="D306" s="736" t="n"/>
      <c r="E306" s="327" t="n"/>
      <c r="F306" s="327" t="n"/>
      <c r="G306" s="326" t="n"/>
      <c r="H306" s="327" t="n"/>
      <c r="I306" s="327" t="n"/>
      <c r="J306" s="9" t="n"/>
      <c r="K306" s="9" t="n"/>
      <c r="L306" s="9" t="n"/>
      <c r="M306" s="9" t="n"/>
      <c r="N306" s="9" t="n"/>
      <c r="O306" s="9" t="n"/>
    </row>
    <row r="307" ht="18" customHeight="1">
      <c r="A307" s="626" t="n"/>
      <c r="B307" s="626" t="n"/>
      <c r="C307" s="732" t="inlineStr">
        <is>
          <t>モード確認</t>
        </is>
      </c>
      <c r="D307" s="591" t="n"/>
      <c r="E307" s="329" t="n"/>
      <c r="F307" s="329" t="n"/>
      <c r="G307" s="328" t="n"/>
      <c r="H307" s="329" t="n"/>
      <c r="I307" s="329" t="n"/>
      <c r="J307" s="9" t="n"/>
      <c r="K307" s="76" t="n"/>
      <c r="L307" s="76" t="n"/>
      <c r="M307" s="76" t="n"/>
      <c r="N307" s="9" t="n"/>
      <c r="O307" s="9" t="n"/>
    </row>
    <row r="308" ht="18" customHeight="1">
      <c r="A308" s="729" t="inlineStr">
        <is>
          <t>吸着脱装置</t>
        </is>
      </c>
      <c r="B308" s="726" t="inlineStr">
        <is>
          <t>―</t>
        </is>
      </c>
      <c r="C308" s="751" t="inlineStr">
        <is>
          <t>マノメータ等の作動確認</t>
        </is>
      </c>
      <c r="D308" s="746" t="n"/>
      <c r="E308" s="333" t="n"/>
      <c r="F308" s="333" t="n"/>
      <c r="G308" s="332" t="n"/>
      <c r="H308" s="333" t="n"/>
      <c r="I308" s="333" t="n"/>
      <c r="J308" s="9" t="n"/>
      <c r="K308" s="9" t="n"/>
      <c r="L308" s="9" t="n"/>
      <c r="M308" s="9" t="n"/>
      <c r="N308" s="9" t="n"/>
      <c r="O308" s="9" t="n"/>
    </row>
    <row r="309" ht="18" customHeight="1">
      <c r="A309" s="626" t="n"/>
      <c r="B309" s="626" t="n"/>
      <c r="C309" s="730">
        <f>C306</f>
        <v/>
      </c>
      <c r="D309" s="731" t="n"/>
      <c r="E309" s="325" t="n"/>
      <c r="F309" s="325" t="n"/>
      <c r="G309" s="324" t="n"/>
      <c r="H309" s="325" t="n"/>
      <c r="I309" s="325" t="n"/>
      <c r="J309" s="9" t="n"/>
      <c r="K309" s="76" t="n"/>
      <c r="L309" s="76" t="n"/>
      <c r="M309" s="76" t="n"/>
      <c r="N309" s="9" t="n"/>
      <c r="O309" s="9" t="n"/>
    </row>
    <row r="310">
      <c r="A310" s="741" t="inlineStr">
        <is>
          <t>電気室給気ファン</t>
        </is>
      </c>
      <c r="B310" s="726" t="inlineStr">
        <is>
          <t>―</t>
        </is>
      </c>
      <c r="C310" s="360" t="inlineStr">
        <is>
          <t>電流値</t>
        </is>
      </c>
      <c r="D310" s="734" t="inlineStr">
        <is>
          <t>Ａ</t>
        </is>
      </c>
      <c r="E310" s="933" t="n"/>
      <c r="F310" s="933" t="n"/>
      <c r="G310" s="932" t="n"/>
      <c r="H310" s="933" t="n"/>
      <c r="I310" s="933" t="n"/>
      <c r="J310" s="9" t="n"/>
      <c r="K310" s="9" t="n"/>
      <c r="L310" s="9" t="n"/>
      <c r="M310" s="9" t="n"/>
      <c r="N310" s="9" t="n"/>
      <c r="O310" s="9" t="n"/>
    </row>
    <row r="311" ht="18" customHeight="1">
      <c r="A311" s="679" t="n"/>
      <c r="B311" s="679" t="n"/>
      <c r="C311" s="735" t="inlineStr">
        <is>
          <t>異音、振動等</t>
        </is>
      </c>
      <c r="D311" s="736" t="n"/>
      <c r="E311" s="317" t="n"/>
      <c r="F311" s="317" t="n"/>
      <c r="G311" s="316" t="n"/>
      <c r="H311" s="317" t="n"/>
      <c r="I311" s="317" t="n"/>
      <c r="J311" s="9" t="n"/>
      <c r="K311" s="9" t="n"/>
      <c r="L311" s="9" t="n"/>
      <c r="M311" s="9" t="n"/>
      <c r="N311" s="9" t="n"/>
      <c r="O311" s="9" t="n"/>
    </row>
    <row r="312" ht="18" customHeight="1">
      <c r="A312" s="626" t="n"/>
      <c r="B312" s="626" t="n"/>
      <c r="C312" s="732" t="inlineStr">
        <is>
          <t>モード確認</t>
        </is>
      </c>
      <c r="D312" s="591" t="n"/>
      <c r="E312" s="321" t="n"/>
      <c r="F312" s="321" t="n"/>
      <c r="G312" s="320" t="n"/>
      <c r="H312" s="321" t="n"/>
      <c r="I312" s="321" t="n"/>
      <c r="J312" s="9" t="n"/>
      <c r="K312" s="9" t="n"/>
      <c r="L312" s="9" t="n"/>
      <c r="M312" s="9" t="n"/>
      <c r="N312" s="9" t="n"/>
      <c r="O312" s="9" t="n"/>
    </row>
    <row r="313">
      <c r="A313" s="741" t="inlineStr">
        <is>
          <t>電気室排気ファン</t>
        </is>
      </c>
      <c r="B313" s="726" t="inlineStr">
        <is>
          <t>―</t>
        </is>
      </c>
      <c r="C313" s="360" t="inlineStr">
        <is>
          <t>電流値</t>
        </is>
      </c>
      <c r="D313" s="734" t="inlineStr">
        <is>
          <t>Ａ</t>
        </is>
      </c>
      <c r="E313" s="933" t="n"/>
      <c r="F313" s="933" t="n"/>
      <c r="G313" s="932" t="n"/>
      <c r="H313" s="933" t="n"/>
      <c r="I313" s="933" t="n"/>
      <c r="J313" s="9" t="n"/>
      <c r="K313" s="9" t="n"/>
      <c r="L313" s="9" t="n"/>
      <c r="M313" s="9" t="n"/>
      <c r="N313" s="9" t="n"/>
      <c r="O313" s="9" t="n"/>
    </row>
    <row r="314" ht="18" customHeight="1">
      <c r="A314" s="679" t="n"/>
      <c r="B314" s="679" t="n"/>
      <c r="C314" s="735" t="inlineStr">
        <is>
          <t>異音、振動等</t>
        </is>
      </c>
      <c r="D314" s="736" t="n"/>
      <c r="E314" s="317" t="n"/>
      <c r="F314" s="317" t="n"/>
      <c r="G314" s="316" t="n"/>
      <c r="H314" s="317" t="n"/>
      <c r="I314" s="317" t="n"/>
      <c r="J314" s="9" t="n"/>
      <c r="K314" s="9" t="n"/>
      <c r="L314" s="9" t="n"/>
      <c r="M314" s="9" t="n"/>
      <c r="N314" s="9" t="n"/>
      <c r="O314" s="9" t="n"/>
    </row>
    <row r="315" ht="18" customHeight="1">
      <c r="A315" s="626" t="n"/>
      <c r="B315" s="626" t="n"/>
      <c r="C315" s="732" t="inlineStr">
        <is>
          <t>モード確認</t>
        </is>
      </c>
      <c r="D315" s="591" t="n"/>
      <c r="E315" s="321" t="n"/>
      <c r="F315" s="321" t="n"/>
      <c r="G315" s="320" t="n"/>
      <c r="H315" s="321" t="n"/>
      <c r="I315" s="321" t="n"/>
      <c r="J315" s="9" t="n"/>
      <c r="K315" s="9" t="n"/>
      <c r="L315" s="9" t="n"/>
      <c r="M315" s="9" t="n"/>
      <c r="N315" s="9" t="n"/>
      <c r="O315" s="9" t="n"/>
    </row>
    <row r="316">
      <c r="A316" s="729" t="inlineStr">
        <is>
          <t>自家発室給気ファン</t>
        </is>
      </c>
      <c r="B316" s="726" t="inlineStr">
        <is>
          <t>―</t>
        </is>
      </c>
      <c r="C316" s="341" t="inlineStr">
        <is>
          <t>異音、振動</t>
        </is>
      </c>
      <c r="D316" s="342" t="n"/>
      <c r="E316" s="317" t="n"/>
      <c r="F316" s="317" t="n"/>
      <c r="G316" s="316" t="n"/>
      <c r="H316" s="317" t="n"/>
      <c r="I316" s="317" t="n"/>
      <c r="J316" s="9" t="n"/>
      <c r="K316" s="9" t="n"/>
      <c r="L316" s="9" t="n"/>
      <c r="M316" s="9" t="n"/>
      <c r="N316" s="9" t="n"/>
      <c r="O316" s="9" t="n"/>
    </row>
    <row r="317">
      <c r="A317" s="626" t="n"/>
      <c r="B317" s="626" t="n"/>
      <c r="C317" s="334" t="inlineStr">
        <is>
          <t>モード確認</t>
        </is>
      </c>
      <c r="D317" s="335" t="n"/>
      <c r="E317" s="323" t="n"/>
      <c r="F317" s="323" t="n"/>
      <c r="G317" s="322" t="n"/>
      <c r="H317" s="323" t="n"/>
      <c r="I317" s="323" t="n"/>
      <c r="J317" s="9" t="n"/>
      <c r="K317" s="76" t="n"/>
      <c r="L317" s="76" t="n"/>
      <c r="M317" s="9" t="n"/>
      <c r="N317" s="9" t="n"/>
      <c r="O317" s="9" t="n"/>
    </row>
    <row r="318">
      <c r="A318" s="727" t="inlineStr">
        <is>
          <t>汚泥ポンプ室排気  ファン</t>
        </is>
      </c>
      <c r="B318" s="726" t="inlineStr">
        <is>
          <t>―</t>
        </is>
      </c>
      <c r="C318" s="361" t="inlineStr">
        <is>
          <t>電流値</t>
        </is>
      </c>
      <c r="D318" s="331" t="inlineStr">
        <is>
          <t>Ａ</t>
        </is>
      </c>
      <c r="E318" s="933" t="n"/>
      <c r="F318" s="933" t="n"/>
      <c r="G318" s="932" t="n"/>
      <c r="H318" s="933" t="n"/>
      <c r="I318" s="933" t="n"/>
      <c r="J318" s="9" t="n"/>
      <c r="K318" s="76" t="n"/>
      <c r="L318" s="76" t="n"/>
      <c r="M318" s="9" t="n"/>
      <c r="N318" s="9" t="n"/>
      <c r="O318" s="9" t="n"/>
    </row>
    <row r="319" ht="13.5" customHeight="1">
      <c r="A319" s="679" t="n"/>
      <c r="B319" s="679" t="n"/>
      <c r="C319" s="314" t="inlineStr">
        <is>
          <t>異音、振動</t>
        </is>
      </c>
      <c r="D319" s="315" t="n"/>
      <c r="E319" s="317" t="n"/>
      <c r="F319" s="317" t="n"/>
      <c r="G319" s="316" t="n"/>
      <c r="H319" s="317" t="n"/>
      <c r="I319" s="317" t="n"/>
      <c r="J319" s="9" t="n"/>
      <c r="K319" s="9" t="n"/>
      <c r="L319" s="9" t="n"/>
      <c r="M319" s="9" t="n"/>
      <c r="N319" s="9" t="n"/>
      <c r="O319" s="9" t="n"/>
    </row>
    <row r="320">
      <c r="A320" s="626" t="n"/>
      <c r="B320" s="626" t="n"/>
      <c r="C320" s="362" t="inlineStr">
        <is>
          <t>モード確認</t>
        </is>
      </c>
      <c r="D320" s="363" t="n"/>
      <c r="E320" s="323" t="n"/>
      <c r="F320" s="323" t="n"/>
      <c r="G320" s="322" t="n"/>
      <c r="H320" s="323" t="n"/>
      <c r="I320" s="323" t="n"/>
      <c r="J320" s="9" t="n"/>
      <c r="K320" s="9" t="n"/>
      <c r="L320" s="9" t="n"/>
      <c r="M320" s="9" t="n"/>
      <c r="N320" s="9" t="n"/>
      <c r="O320" s="9" t="n"/>
    </row>
    <row r="321">
      <c r="A321" s="727" t="inlineStr">
        <is>
          <t>汚泥ポンプ室吸気ファン</t>
        </is>
      </c>
      <c r="B321" s="733" t="inlineStr">
        <is>
          <t>―</t>
        </is>
      </c>
      <c r="C321" s="364" t="inlineStr">
        <is>
          <t>電流値</t>
        </is>
      </c>
      <c r="D321" s="342" t="inlineStr">
        <is>
          <t>Ａ</t>
        </is>
      </c>
      <c r="E321" s="935" t="n"/>
      <c r="F321" s="935" t="n"/>
      <c r="G321" s="934" t="n"/>
      <c r="H321" s="935" t="n"/>
      <c r="I321" s="935" t="n"/>
      <c r="J321" s="9" t="n"/>
      <c r="K321" s="9" t="n"/>
      <c r="L321" s="9" t="n"/>
      <c r="M321" s="9" t="n"/>
      <c r="N321" s="9" t="n"/>
      <c r="O321" s="9" t="n"/>
    </row>
    <row r="322" ht="13.5" customHeight="1">
      <c r="A322" s="679" t="n"/>
      <c r="B322" s="679" t="n"/>
      <c r="C322" s="365" t="inlineStr">
        <is>
          <t>異音、振動</t>
        </is>
      </c>
      <c r="D322" s="366" t="n"/>
      <c r="E322" s="368" t="n"/>
      <c r="F322" s="368" t="n"/>
      <c r="G322" s="367" t="n"/>
      <c r="H322" s="368" t="n"/>
      <c r="I322" s="368" t="n"/>
      <c r="J322" s="9" t="n"/>
      <c r="K322" s="9" t="n"/>
      <c r="L322" s="9" t="n"/>
      <c r="M322" s="9" t="n"/>
      <c r="N322" s="9" t="n"/>
      <c r="O322" s="9" t="n"/>
    </row>
    <row r="323">
      <c r="A323" s="626" t="n"/>
      <c r="B323" s="626" t="n"/>
      <c r="C323" s="362" t="inlineStr">
        <is>
          <t>モード確認</t>
        </is>
      </c>
      <c r="D323" s="363" t="n"/>
      <c r="E323" s="323" t="n"/>
      <c r="F323" s="323" t="n"/>
      <c r="G323" s="322" t="n"/>
      <c r="H323" s="323" t="n"/>
      <c r="I323" s="323" t="n"/>
      <c r="J323" s="9" t="n"/>
      <c r="K323" s="9" t="n"/>
      <c r="L323" s="9" t="n"/>
      <c r="M323" s="9" t="n"/>
      <c r="N323" s="9" t="n"/>
      <c r="O323" s="9" t="n"/>
    </row>
    <row r="324">
      <c r="A324" s="727" t="inlineStr">
        <is>
          <t>脱水作業室排気ファン</t>
        </is>
      </c>
      <c r="B324" s="726" t="inlineStr">
        <is>
          <t>―</t>
        </is>
      </c>
      <c r="C324" s="364" t="inlineStr">
        <is>
          <t>電流値</t>
        </is>
      </c>
      <c r="D324" s="342" t="inlineStr">
        <is>
          <t>Ａ</t>
        </is>
      </c>
      <c r="E324" s="935" t="n"/>
      <c r="F324" s="935" t="n"/>
      <c r="G324" s="934" t="n"/>
      <c r="H324" s="935" t="n"/>
      <c r="I324" s="935" t="n"/>
      <c r="J324" s="9" t="n"/>
      <c r="K324" s="9" t="n"/>
      <c r="L324" s="9" t="n"/>
      <c r="M324" s="9" t="n"/>
      <c r="N324" s="9" t="n"/>
      <c r="O324" s="9" t="n"/>
    </row>
    <row r="325" ht="13.5" customHeight="1">
      <c r="A325" s="679" t="n"/>
      <c r="B325" s="679" t="n"/>
      <c r="C325" s="365" t="inlineStr">
        <is>
          <t>異音、振動</t>
        </is>
      </c>
      <c r="D325" s="366" t="n"/>
      <c r="E325" s="368" t="n"/>
      <c r="F325" s="368" t="n"/>
      <c r="G325" s="367" t="n"/>
      <c r="H325" s="368" t="n"/>
      <c r="I325" s="368" t="n"/>
      <c r="J325" s="9" t="n"/>
      <c r="K325" s="9" t="n"/>
      <c r="L325" s="9" t="n"/>
      <c r="M325" s="9" t="n"/>
      <c r="N325" s="9" t="n"/>
      <c r="O325" s="9" t="n"/>
    </row>
    <row r="326">
      <c r="A326" s="626" t="n"/>
      <c r="B326" s="626" t="n"/>
      <c r="C326" s="334" t="inlineStr">
        <is>
          <t>モード確認</t>
        </is>
      </c>
      <c r="D326" s="335" t="n"/>
      <c r="E326" s="323" t="n"/>
      <c r="F326" s="323" t="n"/>
      <c r="G326" s="322" t="n"/>
      <c r="H326" s="323" t="n"/>
      <c r="I326" s="323" t="n"/>
      <c r="J326" s="9" t="n"/>
      <c r="K326" s="9" t="n"/>
      <c r="L326" s="9" t="n"/>
      <c r="M326" s="9" t="n"/>
      <c r="N326" s="9" t="n"/>
      <c r="O326" s="9" t="n"/>
    </row>
    <row r="327" ht="13.5" customHeight="1">
      <c r="A327" s="727" t="inlineStr">
        <is>
          <t>脱水作業室吸気ファン</t>
        </is>
      </c>
      <c r="B327" s="726" t="inlineStr">
        <is>
          <t>―</t>
        </is>
      </c>
      <c r="C327" s="364" t="inlineStr">
        <is>
          <t>電流値</t>
        </is>
      </c>
      <c r="D327" s="342" t="inlineStr">
        <is>
          <t>Ａ</t>
        </is>
      </c>
      <c r="E327" s="935" t="n"/>
      <c r="F327" s="935" t="n"/>
      <c r="G327" s="934" t="n"/>
      <c r="H327" s="935" t="n"/>
      <c r="I327" s="935" t="n"/>
      <c r="J327" s="9" t="n"/>
      <c r="K327" s="9" t="n"/>
      <c r="L327" s="9" t="n"/>
      <c r="M327" s="9" t="n"/>
      <c r="N327" s="9" t="n"/>
      <c r="O327" s="9" t="n"/>
    </row>
    <row r="328" ht="13.5" customHeight="1">
      <c r="A328" s="679" t="n"/>
      <c r="B328" s="679" t="n"/>
      <c r="C328" s="365" t="inlineStr">
        <is>
          <t>異音、振動</t>
        </is>
      </c>
      <c r="D328" s="366" t="n"/>
      <c r="E328" s="368" t="n"/>
      <c r="F328" s="368" t="n"/>
      <c r="G328" s="367" t="n"/>
      <c r="H328" s="368" t="n"/>
      <c r="I328" s="368" t="n"/>
      <c r="J328" s="9" t="n"/>
      <c r="K328" s="9" t="n"/>
      <c r="L328" s="9" t="n"/>
      <c r="M328" s="9" t="n"/>
      <c r="N328" s="9" t="n"/>
      <c r="O328" s="9" t="n"/>
    </row>
    <row r="329">
      <c r="A329" s="626" t="n"/>
      <c r="B329" s="626" t="n"/>
      <c r="C329" s="334" t="inlineStr">
        <is>
          <t>モード確認</t>
        </is>
      </c>
      <c r="D329" s="335" t="n"/>
      <c r="E329" s="323" t="n"/>
      <c r="F329" s="323" t="n"/>
      <c r="G329" s="322" t="n"/>
      <c r="H329" s="323" t="n"/>
      <c r="I329" s="323" t="n"/>
      <c r="J329" s="9" t="n"/>
      <c r="K329" s="9" t="n"/>
      <c r="L329" s="9" t="n"/>
      <c r="M329" s="9" t="n"/>
      <c r="N329" s="9" t="n"/>
      <c r="O329" s="9" t="n"/>
    </row>
    <row r="330">
      <c r="A330" s="727" t="inlineStr">
        <is>
          <t>脱臭機械室排気ファン</t>
        </is>
      </c>
      <c r="B330" s="726" t="inlineStr">
        <is>
          <t>―</t>
        </is>
      </c>
      <c r="C330" s="364" t="inlineStr">
        <is>
          <t>電流値</t>
        </is>
      </c>
      <c r="D330" s="342" t="inlineStr">
        <is>
          <t>Ａ</t>
        </is>
      </c>
      <c r="E330" s="935" t="n"/>
      <c r="F330" s="935" t="n"/>
      <c r="G330" s="934" t="n"/>
      <c r="H330" s="935" t="n"/>
      <c r="I330" s="935" t="n"/>
      <c r="J330" s="9" t="n"/>
      <c r="K330" s="9" t="n"/>
      <c r="L330" s="9" t="n"/>
      <c r="M330" s="9" t="n"/>
      <c r="N330" s="9" t="n"/>
      <c r="O330" s="9" t="n"/>
    </row>
    <row r="331" ht="13.5" customHeight="1">
      <c r="A331" s="679" t="n"/>
      <c r="B331" s="679" t="n"/>
      <c r="C331" s="365" t="inlineStr">
        <is>
          <t>異音、振動</t>
        </is>
      </c>
      <c r="D331" s="366" t="n"/>
      <c r="E331" s="368" t="n"/>
      <c r="F331" s="368" t="n"/>
      <c r="G331" s="367" t="n"/>
      <c r="H331" s="368" t="n"/>
      <c r="I331" s="368" t="n"/>
      <c r="J331" s="9" t="n"/>
      <c r="K331" s="9" t="n"/>
      <c r="L331" s="9" t="n"/>
      <c r="M331" s="9" t="n"/>
      <c r="N331" s="9" t="n"/>
      <c r="O331" s="9" t="n"/>
    </row>
    <row r="332">
      <c r="A332" s="626" t="n"/>
      <c r="B332" s="626" t="n"/>
      <c r="C332" s="334" t="inlineStr">
        <is>
          <t>モード確認</t>
        </is>
      </c>
      <c r="D332" s="335" t="n"/>
      <c r="E332" s="323" t="n"/>
      <c r="F332" s="323" t="n"/>
      <c r="G332" s="322" t="n"/>
      <c r="H332" s="323" t="n"/>
      <c r="I332" s="323" t="n"/>
      <c r="J332" s="9" t="n"/>
      <c r="K332" s="9" t="n"/>
      <c r="L332" s="9" t="n"/>
      <c r="M332" s="9" t="n"/>
      <c r="N332" s="9" t="n"/>
      <c r="O332" s="9" t="n"/>
    </row>
    <row r="333">
      <c r="A333" s="727" t="inlineStr">
        <is>
          <t>脱臭機械室吸気ファン</t>
        </is>
      </c>
      <c r="B333" s="726" t="inlineStr">
        <is>
          <t>―</t>
        </is>
      </c>
      <c r="C333" s="364" t="inlineStr">
        <is>
          <t>電流値</t>
        </is>
      </c>
      <c r="D333" s="342" t="inlineStr">
        <is>
          <t>Ａ</t>
        </is>
      </c>
      <c r="E333" s="935" t="n"/>
      <c r="F333" s="935" t="n"/>
      <c r="G333" s="934" t="n"/>
      <c r="H333" s="935" t="n"/>
      <c r="I333" s="935" t="n"/>
      <c r="J333" s="9" t="n"/>
      <c r="K333" s="9" t="n"/>
      <c r="L333" s="9" t="n"/>
      <c r="M333" s="9" t="n"/>
      <c r="N333" s="9" t="n"/>
      <c r="O333" s="9" t="n"/>
    </row>
    <row r="334" ht="13.5" customHeight="1">
      <c r="A334" s="679" t="n"/>
      <c r="B334" s="679" t="n"/>
      <c r="C334" s="365" t="inlineStr">
        <is>
          <t>異音、振動</t>
        </is>
      </c>
      <c r="D334" s="366" t="n"/>
      <c r="E334" s="368" t="n"/>
      <c r="F334" s="368" t="n"/>
      <c r="G334" s="367" t="n"/>
      <c r="H334" s="368" t="n"/>
      <c r="I334" s="368" t="n"/>
      <c r="J334" s="9" t="n"/>
      <c r="K334" s="9" t="n"/>
      <c r="L334" s="9" t="n"/>
      <c r="M334" s="9" t="n"/>
      <c r="N334" s="9" t="n"/>
      <c r="O334" s="9" t="n"/>
    </row>
    <row r="335">
      <c r="A335" s="626" t="n"/>
      <c r="B335" s="626" t="n"/>
      <c r="C335" s="334" t="inlineStr">
        <is>
          <t>モード確認</t>
        </is>
      </c>
      <c r="D335" s="335" t="n"/>
      <c r="E335" s="325" t="n"/>
      <c r="F335" s="325" t="n"/>
      <c r="G335" s="324" t="n"/>
      <c r="H335" s="325" t="n"/>
      <c r="I335" s="325" t="n"/>
      <c r="J335" s="9" t="n"/>
      <c r="K335" s="9" t="n"/>
      <c r="L335" s="9" t="n"/>
      <c r="M335" s="9" t="n"/>
      <c r="N335" s="9" t="n"/>
      <c r="O335" s="9" t="n"/>
    </row>
    <row r="336">
      <c r="A336" s="748" t="inlineStr">
        <is>
          <t>終沈ポンプ室排気ファン</t>
        </is>
      </c>
      <c r="B336" s="726" t="inlineStr">
        <is>
          <t>―</t>
        </is>
      </c>
      <c r="C336" s="364" t="inlineStr">
        <is>
          <t>電流値</t>
        </is>
      </c>
      <c r="D336" s="342" t="inlineStr">
        <is>
          <t>Ａ</t>
        </is>
      </c>
      <c r="E336" s="935" t="n"/>
      <c r="F336" s="935" t="n"/>
      <c r="G336" s="934" t="n"/>
      <c r="H336" s="935" t="n"/>
      <c r="I336" s="935" t="n"/>
      <c r="J336" s="9" t="n"/>
      <c r="K336" s="9" t="n"/>
      <c r="L336" s="9" t="n"/>
      <c r="M336" s="9" t="n"/>
      <c r="N336" s="9" t="n"/>
      <c r="O336" s="9" t="n"/>
    </row>
    <row r="337" ht="13.5" customHeight="1">
      <c r="A337" s="679" t="n"/>
      <c r="B337" s="679" t="n"/>
      <c r="C337" s="330" t="inlineStr">
        <is>
          <t>異音、振動</t>
        </is>
      </c>
      <c r="D337" s="331" t="n"/>
      <c r="E337" s="329" t="n"/>
      <c r="F337" s="329" t="n"/>
      <c r="G337" s="328" t="n"/>
      <c r="H337" s="329" t="n"/>
      <c r="I337" s="329" t="n"/>
      <c r="J337" s="9" t="n"/>
      <c r="K337" s="9" t="n"/>
      <c r="L337" s="9" t="n"/>
      <c r="M337" s="9" t="n"/>
      <c r="N337" s="9" t="n"/>
      <c r="O337" s="9" t="n"/>
    </row>
    <row r="338">
      <c r="A338" s="626" t="n"/>
      <c r="B338" s="626" t="n"/>
      <c r="C338" s="334" t="inlineStr">
        <is>
          <t>モード確認</t>
        </is>
      </c>
      <c r="D338" s="335" t="n"/>
      <c r="E338" s="325" t="n"/>
      <c r="F338" s="325" t="n"/>
      <c r="G338" s="324" t="n"/>
      <c r="H338" s="325" t="n"/>
      <c r="I338" s="325" t="n"/>
      <c r="J338" s="9" t="n"/>
      <c r="K338" s="9" t="n"/>
      <c r="L338" s="9" t="n"/>
      <c r="M338" s="9" t="n"/>
      <c r="N338" s="9" t="n"/>
      <c r="O338" s="9" t="n"/>
    </row>
    <row r="339">
      <c r="A339" s="727" t="inlineStr">
        <is>
          <t>終沈ポンプ室吸気ファン</t>
        </is>
      </c>
      <c r="B339" s="726" t="inlineStr">
        <is>
          <t>―</t>
        </is>
      </c>
      <c r="C339" s="364" t="inlineStr">
        <is>
          <t>電流値</t>
        </is>
      </c>
      <c r="D339" s="342" t="inlineStr">
        <is>
          <t>Ａ</t>
        </is>
      </c>
      <c r="E339" s="935" t="n"/>
      <c r="F339" s="935" t="n"/>
      <c r="G339" s="934" t="n"/>
      <c r="H339" s="935" t="n"/>
      <c r="I339" s="935" t="n"/>
      <c r="J339" s="9" t="n"/>
      <c r="K339" s="9" t="n"/>
      <c r="L339" s="9" t="n"/>
      <c r="M339" s="9" t="n"/>
      <c r="N339" s="9" t="n"/>
      <c r="O339" s="9" t="n"/>
    </row>
    <row r="340" ht="13.5" customHeight="1">
      <c r="A340" s="679" t="n"/>
      <c r="B340" s="679" t="n"/>
      <c r="C340" s="330" t="inlineStr">
        <is>
          <t>異音、振動</t>
        </is>
      </c>
      <c r="D340" s="331" t="n"/>
      <c r="E340" s="329" t="n"/>
      <c r="F340" s="329" t="n"/>
      <c r="G340" s="328" t="n"/>
      <c r="H340" s="329" t="n"/>
      <c r="I340" s="329" t="n"/>
      <c r="J340" s="9" t="n"/>
      <c r="K340" s="9" t="n"/>
      <c r="L340" s="9" t="n"/>
      <c r="M340" s="9" t="n"/>
      <c r="N340" s="9" t="n"/>
      <c r="O340" s="9" t="n"/>
    </row>
    <row r="341">
      <c r="A341" s="626" t="n"/>
      <c r="B341" s="626" t="n"/>
      <c r="C341" s="334" t="inlineStr">
        <is>
          <t>モード確認</t>
        </is>
      </c>
      <c r="D341" s="335" t="n"/>
      <c r="E341" s="325" t="n"/>
      <c r="F341" s="325" t="n"/>
      <c r="G341" s="324" t="n"/>
      <c r="H341" s="325" t="n"/>
      <c r="I341" s="325" t="n"/>
      <c r="J341" s="9" t="n"/>
      <c r="K341" s="9" t="n"/>
      <c r="L341" s="9" t="n"/>
      <c r="M341" s="9" t="n"/>
      <c r="N341" s="9" t="n"/>
      <c r="O341" s="9" t="n"/>
    </row>
    <row r="342" ht="13.5" customHeight="1">
      <c r="A342" s="727" t="inlineStr">
        <is>
          <t>自動巻取型エア     フィルター</t>
        </is>
      </c>
      <c r="B342" s="750" t="inlineStr">
        <is>
          <t>―</t>
        </is>
      </c>
      <c r="C342" s="753" t="inlineStr">
        <is>
          <t>巻取完了表示点灯確認</t>
        </is>
      </c>
      <c r="D342" s="587" t="n"/>
      <c r="E342" s="333" t="n"/>
      <c r="F342" s="333" t="n"/>
      <c r="G342" s="332" t="n"/>
      <c r="H342" s="333" t="n"/>
      <c r="I342" s="333" t="n"/>
      <c r="J342" s="9" t="n"/>
      <c r="K342" s="9" t="n"/>
      <c r="L342" s="9" t="n"/>
      <c r="M342" s="9" t="n"/>
      <c r="N342" s="9" t="n"/>
      <c r="O342" s="9" t="n"/>
    </row>
    <row r="343">
      <c r="A343" s="679" t="n"/>
      <c r="C343" s="314" t="inlineStr">
        <is>
          <t>差圧</t>
        </is>
      </c>
      <c r="D343" s="315" t="inlineStr">
        <is>
          <t>Pa</t>
        </is>
      </c>
      <c r="E343" s="317" t="n"/>
      <c r="F343" s="317" t="n"/>
      <c r="G343" s="316" t="n"/>
      <c r="H343" s="317" t="n"/>
      <c r="I343" s="317" t="n"/>
      <c r="J343" s="9" t="n"/>
      <c r="K343" s="9" t="n"/>
      <c r="L343" s="9" t="n"/>
      <c r="M343" s="9" t="n"/>
      <c r="N343" s="9" t="n"/>
      <c r="O343" s="9" t="n"/>
    </row>
    <row r="344">
      <c r="A344" s="679" t="n"/>
      <c r="C344" s="314" t="inlineStr">
        <is>
          <t>モード確認</t>
        </is>
      </c>
      <c r="D344" s="315" t="n"/>
      <c r="E344" s="329" t="n"/>
      <c r="F344" s="329" t="n"/>
      <c r="G344" s="328" t="n"/>
      <c r="H344" s="329" t="n"/>
      <c r="I344" s="329" t="n"/>
      <c r="J344" s="9" t="n"/>
      <c r="K344" s="76" t="n"/>
      <c r="L344" s="76" t="n"/>
      <c r="M344" s="76" t="n"/>
      <c r="N344" s="9" t="n"/>
      <c r="O344" s="9" t="n"/>
    </row>
    <row r="345">
      <c r="A345" s="626" t="n"/>
      <c r="B345" s="598" t="n"/>
      <c r="C345" s="318" t="inlineStr">
        <is>
          <t>設定</t>
        </is>
      </c>
      <c r="D345" s="319" t="n"/>
      <c r="E345" s="325" t="n"/>
      <c r="F345" s="325" t="n"/>
      <c r="G345" s="324" t="n"/>
      <c r="H345" s="325" t="n"/>
      <c r="I345" s="325" t="n"/>
      <c r="J345" s="9" t="n"/>
      <c r="K345" s="369" t="n"/>
      <c r="L345" s="76" t="n"/>
      <c r="M345" s="9" t="n"/>
      <c r="N345" s="9" t="n"/>
      <c r="O345" s="9" t="n"/>
    </row>
    <row r="346" ht="18" customHeight="1">
      <c r="A346" s="370" t="inlineStr">
        <is>
          <t>備　　　考</t>
        </is>
      </c>
      <c r="B346" s="734" t="n"/>
      <c r="C346" s="586" t="n"/>
      <c r="D346" s="586" t="n"/>
      <c r="E346" s="586" t="n"/>
      <c r="F346" s="586" t="n"/>
      <c r="G346" s="586" t="n"/>
      <c r="H346" s="586" t="n"/>
      <c r="I346" s="587" t="n"/>
      <c r="J346" s="9" t="n"/>
      <c r="K346" s="9" t="n"/>
      <c r="L346" s="9" t="n"/>
      <c r="M346" s="9" t="n"/>
      <c r="N346" s="9" t="n"/>
      <c r="O346" s="9" t="n"/>
    </row>
    <row r="347">
      <c r="A347" s="752" t="n"/>
      <c r="D347" s="357" t="n"/>
      <c r="E347" s="371" t="n"/>
      <c r="F347" s="372" t="n"/>
      <c r="G347" s="372" t="n"/>
      <c r="H347" s="372" t="n"/>
      <c r="I347" s="373" t="n"/>
      <c r="J347" s="9" t="n"/>
      <c r="K347" s="9" t="n"/>
      <c r="L347" s="9" t="n"/>
      <c r="M347" s="9" t="n"/>
      <c r="N347" s="9" t="n"/>
      <c r="O347" s="9" t="n"/>
    </row>
    <row r="348">
      <c r="A348" s="737" t="n"/>
      <c r="F348" s="372" t="n"/>
      <c r="G348" s="372" t="n"/>
      <c r="H348" s="372" t="n"/>
      <c r="I348" s="373" t="n"/>
      <c r="J348" s="9" t="n"/>
      <c r="K348" s="9" t="n"/>
      <c r="L348" s="9" t="n"/>
      <c r="M348" s="9" t="n"/>
      <c r="N348" s="9" t="n"/>
      <c r="O348" s="9" t="n"/>
    </row>
    <row r="349">
      <c r="A349" s="755" t="n"/>
      <c r="F349" s="372" t="n"/>
      <c r="G349" s="372" t="n"/>
      <c r="H349" s="372" t="n"/>
      <c r="I349" s="373" t="n"/>
      <c r="J349" s="9" t="n"/>
      <c r="K349" s="9" t="n"/>
      <c r="L349" s="9" t="n"/>
      <c r="M349" s="9" t="n"/>
      <c r="N349" s="9" t="n"/>
      <c r="O349" s="9" t="n"/>
    </row>
    <row r="350">
      <c r="A350" s="374" t="n"/>
      <c r="B350" s="375" t="n"/>
      <c r="C350" s="375" t="n"/>
      <c r="D350" s="375" t="n"/>
      <c r="E350" s="372" t="n"/>
      <c r="F350" s="372" t="n"/>
      <c r="G350" s="372" t="n"/>
      <c r="H350" s="372" t="n"/>
      <c r="I350" s="373" t="n"/>
      <c r="J350" s="9" t="n"/>
      <c r="K350" s="9" t="n"/>
      <c r="L350" s="9" t="n"/>
      <c r="M350" s="9" t="n"/>
      <c r="N350" s="9" t="n"/>
      <c r="O350" s="9" t="n"/>
    </row>
    <row r="351">
      <c r="A351" s="374" t="n"/>
      <c r="B351" s="375" t="n"/>
      <c r="C351" s="375" t="n"/>
      <c r="D351" s="375" t="n"/>
      <c r="E351" s="372" t="n"/>
      <c r="F351" s="372" t="n"/>
      <c r="G351" s="372" t="n"/>
      <c r="H351" s="372" t="n"/>
      <c r="I351" s="373" t="n"/>
      <c r="J351" s="9" t="n"/>
      <c r="K351" s="9" t="n"/>
      <c r="L351" s="9" t="n"/>
      <c r="M351" s="9" t="n"/>
      <c r="N351" s="9" t="n"/>
      <c r="O351" s="9" t="n"/>
    </row>
    <row r="352" ht="17" customHeight="1">
      <c r="A352" s="388" t="n"/>
      <c r="B352" s="353" t="n"/>
      <c r="C352" s="375" t="n"/>
      <c r="D352" s="375" t="n"/>
      <c r="E352" s="372" t="n"/>
      <c r="F352" s="372" t="n"/>
      <c r="G352" s="372" t="n"/>
      <c r="H352" s="372" t="n"/>
      <c r="I352" s="373" t="n"/>
      <c r="J352" s="9" t="n"/>
      <c r="K352" s="9" t="n"/>
      <c r="L352" s="9" t="n"/>
      <c r="M352" s="9" t="n"/>
      <c r="N352" s="9" t="n"/>
      <c r="O352" s="9" t="n"/>
    </row>
    <row r="353">
      <c r="A353" s="389" t="n"/>
      <c r="B353" s="353" t="n"/>
      <c r="C353" s="377" t="n"/>
      <c r="D353" s="377" t="n"/>
      <c r="E353" s="378" t="n"/>
      <c r="F353" s="378" t="n"/>
      <c r="G353" s="378" t="n"/>
      <c r="H353" s="378" t="n"/>
      <c r="I353" s="379" t="n"/>
      <c r="J353" s="9" t="n"/>
      <c r="K353" s="9" t="n"/>
      <c r="L353" s="9" t="n"/>
      <c r="M353" s="9" t="n"/>
      <c r="N353" s="9" t="n"/>
      <c r="O353" s="9" t="n"/>
    </row>
    <row r="354" ht="18" customHeight="1">
      <c r="A354" s="747" t="inlineStr">
        <is>
          <t xml:space="preserve">　○：良　　△：要注意　　×：要修理</t>
        </is>
      </c>
      <c r="B354" s="586" t="n"/>
      <c r="C354" s="586" t="n"/>
      <c r="D354" s="586" t="n"/>
      <c r="E354" s="586" t="n"/>
      <c r="F354" s="586" t="n"/>
      <c r="G354" s="586" t="n"/>
      <c r="H354" s="586" t="n"/>
      <c r="I354" s="586" t="n"/>
      <c r="J354" s="9" t="n"/>
      <c r="K354" s="9" t="n"/>
      <c r="L354" s="9" t="n"/>
      <c r="M354" s="9" t="n"/>
      <c r="N354" s="9" t="n"/>
      <c r="O354" s="9" t="n"/>
    </row>
    <row r="355" ht="22" customHeight="1">
      <c r="A355" s="299" t="inlineStr">
        <is>
          <t xml:space="preserve">　機械設備日常点検表（１/３）</t>
        </is>
      </c>
      <c r="B355" s="390" t="n"/>
      <c r="C355" s="300" t="n"/>
      <c r="D355" s="594" t="n"/>
      <c r="E355" s="594" t="n"/>
      <c r="F355" s="594" t="n"/>
      <c r="G355" s="594" t="n"/>
      <c r="H355" s="300">
        <f>H1</f>
        <v/>
      </c>
      <c r="I355" s="594" t="n"/>
      <c r="J355" s="9" t="n"/>
      <c r="K355" s="9" t="n"/>
      <c r="L355" s="9" t="n"/>
      <c r="M355" s="9" t="n"/>
      <c r="N355" s="9" t="n"/>
      <c r="O355" s="9" t="n"/>
    </row>
    <row r="356" ht="18" customHeight="1">
      <c r="A356" s="726" t="inlineStr">
        <is>
          <t>機　器　名</t>
        </is>
      </c>
      <c r="B356" s="726" t="inlineStr">
        <is>
          <t>No</t>
        </is>
      </c>
      <c r="C356" s="726" t="inlineStr">
        <is>
          <t>点 検 者</t>
        </is>
      </c>
      <c r="D356" s="580" t="n"/>
      <c r="E356" s="726" t="inlineStr">
        <is>
          <t>山根　悠貴</t>
        </is>
      </c>
      <c r="F356" s="726" t="inlineStr">
        <is>
          <t>山根　悠貴</t>
        </is>
      </c>
      <c r="G356" s="726" t="inlineStr">
        <is>
          <t>山根　悠貴</t>
        </is>
      </c>
      <c r="H356" s="726" t="inlineStr">
        <is>
          <t>山根　悠貴</t>
        </is>
      </c>
      <c r="I356" s="391" t="inlineStr">
        <is>
          <t>山根　悠貴</t>
        </is>
      </c>
      <c r="J356" s="9" t="n"/>
      <c r="K356" s="9" t="n"/>
      <c r="L356" s="9" t="n"/>
      <c r="M356" s="9" t="n"/>
      <c r="N356" s="9" t="n"/>
      <c r="O356" s="9" t="n"/>
    </row>
    <row r="357" ht="18" customHeight="1">
      <c r="A357" s="626" t="n"/>
      <c r="B357" s="626" t="n"/>
      <c r="C357" s="726" t="inlineStr">
        <is>
          <t>点検内容</t>
        </is>
      </c>
      <c r="D357" s="580" t="n"/>
      <c r="E357" s="931">
        <f>E296+7</f>
        <v/>
      </c>
      <c r="F357" s="931">
        <f>E357+1</f>
        <v/>
      </c>
      <c r="G357" s="931">
        <f>F357+1</f>
        <v/>
      </c>
      <c r="H357" s="931">
        <f>G357+1</f>
        <v/>
      </c>
      <c r="I357" s="931">
        <f>H357+1</f>
        <v/>
      </c>
      <c r="J357" s="9" t="n"/>
      <c r="K357" s="9" t="n"/>
      <c r="L357" s="9" t="n"/>
      <c r="M357" s="9" t="n"/>
      <c r="N357" s="9" t="n"/>
      <c r="O357" s="9" t="n"/>
    </row>
    <row r="358">
      <c r="A358" s="729" t="inlineStr">
        <is>
          <t>ポンプ井</t>
        </is>
      </c>
      <c r="B358" s="726" t="inlineStr">
        <is>
          <t>―</t>
        </is>
      </c>
      <c r="C358" s="306" t="inlineStr">
        <is>
          <t>内部状況確認</t>
        </is>
      </c>
      <c r="D358" s="307" t="n"/>
      <c r="E358" s="309" t="n"/>
      <c r="F358" s="309" t="n"/>
      <c r="G358" s="309" t="n"/>
      <c r="H358" s="309" t="n"/>
      <c r="I358" s="392" t="n"/>
      <c r="J358" s="9" t="n"/>
      <c r="K358" s="9" t="n"/>
      <c r="L358" s="9" t="n"/>
      <c r="M358" s="9" t="n"/>
      <c r="N358" s="9" t="n"/>
      <c r="O358" s="9" t="n"/>
    </row>
    <row r="359">
      <c r="A359" s="756" t="inlineStr">
        <is>
          <t>汚水ポンプ</t>
        </is>
      </c>
      <c r="B359" s="726" t="n">
        <v>1</v>
      </c>
      <c r="C359" s="310" t="inlineStr">
        <is>
          <t>電流値</t>
        </is>
      </c>
      <c r="D359" s="734" t="inlineStr">
        <is>
          <t>Ａ</t>
        </is>
      </c>
      <c r="E359" s="936" t="n"/>
      <c r="F359" s="936" t="n"/>
      <c r="G359" s="936" t="n"/>
      <c r="H359" s="936" t="n"/>
      <c r="I359" s="939" t="n"/>
      <c r="J359" s="9" t="n"/>
      <c r="K359" s="9" t="n"/>
      <c r="L359" s="9" t="n"/>
      <c r="M359" s="9" t="n"/>
      <c r="N359" s="9" t="n"/>
      <c r="O359" s="9" t="n"/>
    </row>
    <row r="360">
      <c r="A360" s="679" t="n"/>
      <c r="B360" s="679" t="n"/>
      <c r="C360" s="314" t="inlineStr">
        <is>
          <t>吐出圧力</t>
        </is>
      </c>
      <c r="D360" s="315" t="inlineStr">
        <is>
          <t>Mpa</t>
        </is>
      </c>
      <c r="E360" s="382" t="n"/>
      <c r="F360" s="382" t="n"/>
      <c r="G360" s="382" t="n"/>
      <c r="H360" s="382" t="n"/>
      <c r="I360" s="394" t="n"/>
      <c r="J360" s="9" t="n"/>
      <c r="K360" s="9" t="n"/>
      <c r="L360" s="9" t="n"/>
      <c r="M360" s="9" t="n"/>
      <c r="N360" s="9" t="n"/>
      <c r="O360" s="9" t="n"/>
    </row>
    <row r="361">
      <c r="A361" s="679" t="n"/>
      <c r="B361" s="626" t="n"/>
      <c r="C361" s="318" t="inlineStr">
        <is>
          <t>異音、振動</t>
        </is>
      </c>
      <c r="D361" s="319" t="n"/>
      <c r="E361" s="384" t="n"/>
      <c r="F361" s="384" t="n"/>
      <c r="G361" s="384" t="n"/>
      <c r="H361" s="384" t="n"/>
      <c r="I361" s="395" t="n"/>
      <c r="J361" s="9" t="n"/>
      <c r="K361" s="9" t="n"/>
      <c r="L361" s="9" t="n"/>
      <c r="M361" s="9" t="n"/>
      <c r="N361" s="9" t="n"/>
      <c r="O361" s="9" t="n"/>
    </row>
    <row r="362">
      <c r="A362" s="679" t="n"/>
      <c r="B362" s="726" t="n">
        <v>2</v>
      </c>
      <c r="C362" s="310" t="inlineStr">
        <is>
          <t>電流値</t>
        </is>
      </c>
      <c r="D362" s="734" t="inlineStr">
        <is>
          <t>Ａ</t>
        </is>
      </c>
      <c r="E362" s="933" t="n"/>
      <c r="F362" s="933" t="n"/>
      <c r="G362" s="933" t="n"/>
      <c r="H362" s="933" t="n"/>
      <c r="I362" s="939" t="n"/>
      <c r="J362" s="9" t="n"/>
      <c r="K362" s="9" t="n"/>
      <c r="L362" s="9" t="n"/>
      <c r="M362" s="9" t="n"/>
      <c r="N362" s="9" t="n"/>
      <c r="O362" s="9" t="n"/>
    </row>
    <row r="363" ht="13.5" customHeight="1">
      <c r="A363" s="679" t="n"/>
      <c r="B363" s="679" t="n"/>
      <c r="C363" s="314" t="inlineStr">
        <is>
          <t>吐出圧力</t>
        </is>
      </c>
      <c r="D363" s="315" t="inlineStr">
        <is>
          <t>Mpa</t>
        </is>
      </c>
      <c r="E363" s="323" t="n"/>
      <c r="F363" s="323" t="n"/>
      <c r="G363" s="323" t="n"/>
      <c r="H363" s="323" t="n"/>
      <c r="I363" s="396" t="n"/>
      <c r="J363" s="9" t="n"/>
      <c r="K363" s="73" t="n"/>
      <c r="L363" s="9" t="n"/>
      <c r="M363" s="9" t="n"/>
      <c r="N363" s="9" t="n"/>
      <c r="O363" s="9" t="n"/>
    </row>
    <row r="364">
      <c r="A364" s="679" t="n"/>
      <c r="B364" s="626" t="n"/>
      <c r="C364" s="318">
        <f>C361</f>
        <v/>
      </c>
      <c r="D364" s="319" t="n"/>
      <c r="E364" s="325" t="n"/>
      <c r="F364" s="325" t="n"/>
      <c r="G364" s="325" t="n"/>
      <c r="H364" s="325" t="n"/>
      <c r="I364" s="397" t="n"/>
      <c r="J364" s="9" t="n"/>
      <c r="K364" s="9" t="n"/>
      <c r="L364" s="9" t="n"/>
      <c r="M364" s="9" t="n"/>
      <c r="N364" s="9" t="n"/>
      <c r="O364" s="9" t="n"/>
    </row>
    <row r="365" ht="18" customHeight="1">
      <c r="A365" s="679" t="n"/>
      <c r="B365" s="726" t="inlineStr">
        <is>
          <t>―</t>
        </is>
      </c>
      <c r="C365" s="745" t="inlineStr">
        <is>
          <t>モード確認</t>
        </is>
      </c>
      <c r="D365" s="746" t="n"/>
      <c r="E365" s="327" t="n"/>
      <c r="F365" s="327" t="n"/>
      <c r="G365" s="327" t="n"/>
      <c r="H365" s="327" t="n"/>
      <c r="I365" s="398" t="n"/>
      <c r="J365" s="9" t="n"/>
      <c r="K365" s="73" t="n"/>
      <c r="L365" s="73" t="n"/>
      <c r="M365" s="73" t="n"/>
      <c r="N365" s="76" t="n"/>
      <c r="O365" s="9" t="n"/>
    </row>
    <row r="366" ht="18" customHeight="1">
      <c r="A366" s="626" t="n"/>
      <c r="B366" s="626" t="n"/>
      <c r="C366" s="743" t="inlineStr">
        <is>
          <t>機種選択</t>
        </is>
      </c>
      <c r="D366" s="591" t="n"/>
      <c r="E366" s="329" t="n"/>
      <c r="F366" s="329" t="n"/>
      <c r="G366" s="329" t="n"/>
      <c r="H366" s="329" t="n"/>
      <c r="I366" s="399" t="n"/>
      <c r="J366" s="9" t="n"/>
      <c r="K366" s="72" t="n"/>
      <c r="L366" s="72" t="n"/>
      <c r="M366" s="72" t="n"/>
      <c r="N366" s="9" t="n"/>
      <c r="O366" s="9" t="n"/>
    </row>
    <row r="367">
      <c r="A367" s="729" t="inlineStr">
        <is>
          <t>自動除塵機</t>
        </is>
      </c>
      <c r="B367" s="726" t="n"/>
      <c r="C367" s="330" t="inlineStr">
        <is>
          <t>油圧圧力</t>
        </is>
      </c>
      <c r="D367" s="331" t="inlineStr">
        <is>
          <t>Mpa</t>
        </is>
      </c>
      <c r="E367" s="933" t="n"/>
      <c r="F367" s="933" t="n"/>
      <c r="G367" s="933" t="n"/>
      <c r="H367" s="933" t="n"/>
      <c r="I367" s="939" t="n"/>
      <c r="J367" s="9" t="n"/>
      <c r="K367" s="9" t="n"/>
      <c r="L367" s="9" t="n"/>
      <c r="M367" s="9" t="n"/>
      <c r="N367" s="9" t="n"/>
      <c r="O367" s="9" t="n"/>
    </row>
    <row r="368">
      <c r="A368" s="679" t="n"/>
      <c r="B368" s="679" t="n"/>
      <c r="C368" s="314" t="inlineStr">
        <is>
          <t>異音、振動</t>
        </is>
      </c>
      <c r="D368" s="315" t="n"/>
      <c r="E368" s="317" t="n"/>
      <c r="F368" s="317" t="n"/>
      <c r="G368" s="317" t="n"/>
      <c r="H368" s="317" t="n"/>
      <c r="I368" s="394" t="n"/>
      <c r="J368" s="9" t="n"/>
      <c r="K368" s="76" t="n"/>
      <c r="L368" s="76" t="n"/>
      <c r="M368" s="76" t="n"/>
      <c r="N368" s="72" t="n"/>
      <c r="O368" s="9" t="n"/>
    </row>
    <row r="369">
      <c r="A369" s="679" t="n"/>
      <c r="B369" s="679" t="n"/>
      <c r="C369" s="314" t="inlineStr">
        <is>
          <t>し渣量の確認</t>
        </is>
      </c>
      <c r="D369" s="315" t="n"/>
      <c r="E369" s="317" t="n"/>
      <c r="F369" s="317" t="n"/>
      <c r="G369" s="317" t="n"/>
      <c r="H369" s="317" t="n"/>
      <c r="I369" s="394" t="n"/>
      <c r="J369" s="9" t="n"/>
      <c r="K369" s="76" t="n"/>
      <c r="L369" s="76" t="n"/>
      <c r="M369" s="72" t="n"/>
      <c r="N369" s="9" t="n"/>
      <c r="O369" s="9" t="n"/>
    </row>
    <row r="370">
      <c r="A370" s="626" t="n"/>
      <c r="B370" s="626" t="n"/>
      <c r="C370" s="318" t="inlineStr">
        <is>
          <t>運転動作</t>
        </is>
      </c>
      <c r="D370" s="319" t="n"/>
      <c r="E370" s="321" t="n"/>
      <c r="F370" s="321" t="n"/>
      <c r="G370" s="321" t="n"/>
      <c r="H370" s="321" t="n"/>
      <c r="I370" s="395" t="n"/>
      <c r="J370" s="9" t="n"/>
      <c r="K370" s="9" t="n"/>
      <c r="L370" s="9" t="n"/>
      <c r="M370" s="9" t="n"/>
      <c r="N370" s="9" t="n"/>
      <c r="O370" s="9" t="n"/>
    </row>
    <row r="371">
      <c r="A371" s="741" t="inlineStr">
        <is>
          <t>エアレーション装置</t>
        </is>
      </c>
      <c r="B371" s="728" t="inlineStr">
        <is>
          <t>№1</t>
        </is>
      </c>
      <c r="C371" s="310" t="inlineStr">
        <is>
          <t>電流値</t>
        </is>
      </c>
      <c r="D371" s="734" t="inlineStr">
        <is>
          <t>Ａ</t>
        </is>
      </c>
      <c r="E371" s="933" t="n"/>
      <c r="F371" s="933" t="n"/>
      <c r="G371" s="933" t="n"/>
      <c r="H371" s="933" t="n"/>
      <c r="I371" s="939" t="n"/>
      <c r="J371" s="9" t="n"/>
      <c r="K371" s="9" t="n"/>
      <c r="L371" s="9" t="n"/>
      <c r="M371" s="9" t="n"/>
      <c r="N371" s="9" t="n"/>
      <c r="O371" s="9" t="n"/>
    </row>
    <row r="372">
      <c r="A372" s="679" t="n"/>
      <c r="B372" s="679" t="n"/>
      <c r="C372" s="314">
        <f>C368</f>
        <v/>
      </c>
      <c r="D372" s="315" t="n"/>
      <c r="E372" s="317" t="n"/>
      <c r="F372" s="317" t="n"/>
      <c r="G372" s="317" t="n"/>
      <c r="H372" s="317" t="n"/>
      <c r="I372" s="394" t="n"/>
      <c r="J372" s="9" t="n"/>
      <c r="K372" s="76" t="n"/>
      <c r="L372" s="76" t="n"/>
      <c r="M372" s="76" t="n"/>
      <c r="N372" s="9" t="n"/>
      <c r="O372" s="9" t="n"/>
    </row>
    <row r="373" ht="18" customHeight="1">
      <c r="A373" s="679" t="n"/>
      <c r="B373" s="626" t="n"/>
      <c r="C373" s="743" t="inlineStr">
        <is>
          <t>モード確認</t>
        </is>
      </c>
      <c r="D373" s="591" t="n"/>
      <c r="E373" s="321" t="n"/>
      <c r="F373" s="321" t="n"/>
      <c r="G373" s="321" t="n"/>
      <c r="H373" s="321" t="n"/>
      <c r="I373" s="395" t="n"/>
      <c r="J373" s="9" t="n"/>
      <c r="K373" s="9" t="n"/>
      <c r="L373" s="9" t="n"/>
      <c r="M373" s="9" t="n"/>
      <c r="N373" s="9" t="n"/>
      <c r="O373" s="9" t="n"/>
    </row>
    <row r="374">
      <c r="A374" s="679" t="n"/>
      <c r="B374" s="728" t="inlineStr">
        <is>
          <t>№2</t>
        </is>
      </c>
      <c r="C374" s="310" t="inlineStr">
        <is>
          <t>電流値</t>
        </is>
      </c>
      <c r="D374" s="734" t="inlineStr">
        <is>
          <t>Ａ</t>
        </is>
      </c>
      <c r="E374" s="933" t="n"/>
      <c r="F374" s="933" t="n"/>
      <c r="G374" s="933" t="n"/>
      <c r="H374" s="933" t="n"/>
      <c r="I374" s="939" t="n"/>
      <c r="J374" s="9" t="n"/>
      <c r="K374" s="76" t="n"/>
      <c r="L374" s="76" t="n"/>
      <c r="M374" s="76" t="n"/>
      <c r="N374" s="9" t="n"/>
      <c r="O374" s="9" t="n"/>
    </row>
    <row r="375">
      <c r="A375" s="679" t="n"/>
      <c r="B375" s="679" t="n"/>
      <c r="C375" s="314">
        <f>C372</f>
        <v/>
      </c>
      <c r="D375" s="315" t="n"/>
      <c r="E375" s="317" t="n"/>
      <c r="F375" s="317" t="n"/>
      <c r="G375" s="317" t="n"/>
      <c r="H375" s="317" t="n"/>
      <c r="I375" s="394" t="n"/>
      <c r="J375" s="9" t="n"/>
      <c r="K375" s="9" t="n"/>
      <c r="L375" s="9" t="n"/>
      <c r="M375" s="9" t="n"/>
      <c r="N375" s="9" t="n"/>
      <c r="O375" s="9" t="n"/>
    </row>
    <row r="376" ht="18" customHeight="1">
      <c r="A376" s="679" t="n"/>
      <c r="B376" s="626" t="n"/>
      <c r="C376" s="743" t="inlineStr">
        <is>
          <t>モード確認</t>
        </is>
      </c>
      <c r="D376" s="591" t="n"/>
      <c r="E376" s="321" t="n"/>
      <c r="F376" s="321" t="n"/>
      <c r="G376" s="321" t="n"/>
      <c r="H376" s="321" t="n"/>
      <c r="I376" s="395" t="n"/>
      <c r="J376" s="9" t="n"/>
      <c r="K376" s="76" t="n"/>
      <c r="L376" s="76" t="n"/>
      <c r="M376" s="9" t="n"/>
      <c r="N376" s="9" t="n"/>
      <c r="O376" s="9" t="n"/>
    </row>
    <row r="377">
      <c r="A377" s="679" t="n"/>
      <c r="B377" s="728" t="inlineStr">
        <is>
          <t>№3</t>
        </is>
      </c>
      <c r="C377" s="310" t="inlineStr">
        <is>
          <t>電流値</t>
        </is>
      </c>
      <c r="D377" s="734" t="inlineStr">
        <is>
          <t>Ａ</t>
        </is>
      </c>
      <c r="E377" s="933" t="n"/>
      <c r="F377" s="933" t="n"/>
      <c r="G377" s="933" t="n"/>
      <c r="H377" s="933" t="n"/>
      <c r="I377" s="939" t="n"/>
      <c r="J377" s="76" t="n"/>
      <c r="K377" s="76" t="n"/>
      <c r="L377" s="76" t="n"/>
      <c r="M377" s="9" t="n"/>
      <c r="N377" s="9" t="n"/>
      <c r="O377" s="9" t="n"/>
    </row>
    <row r="378">
      <c r="A378" s="679" t="n"/>
      <c r="B378" s="679" t="n"/>
      <c r="C378" s="314">
        <f>C375</f>
        <v/>
      </c>
      <c r="D378" s="315" t="n"/>
      <c r="E378" s="317" t="n"/>
      <c r="F378" s="317" t="n"/>
      <c r="G378" s="317" t="n"/>
      <c r="H378" s="317" t="n"/>
      <c r="I378" s="394" t="n"/>
      <c r="J378" s="9" t="n"/>
      <c r="K378" s="9" t="n"/>
      <c r="L378" s="9" t="n"/>
      <c r="M378" s="9" t="n"/>
      <c r="N378" s="9" t="n"/>
      <c r="O378" s="9" t="n"/>
    </row>
    <row r="379" ht="18" customHeight="1">
      <c r="A379" s="679" t="n"/>
      <c r="B379" s="626" t="n"/>
      <c r="C379" s="743" t="inlineStr">
        <is>
          <t>モード確認</t>
        </is>
      </c>
      <c r="D379" s="591" t="n"/>
      <c r="E379" s="321" t="n"/>
      <c r="F379" s="321" t="n"/>
      <c r="G379" s="321" t="n"/>
      <c r="H379" s="321" t="n"/>
      <c r="I379" s="395" t="n"/>
      <c r="J379" s="9" t="n"/>
      <c r="K379" s="9" t="n"/>
      <c r="L379" s="9" t="n"/>
      <c r="M379" s="9" t="n"/>
      <c r="N379" s="9" t="n"/>
      <c r="O379" s="9" t="n"/>
    </row>
    <row r="380">
      <c r="A380" s="679" t="n"/>
      <c r="B380" s="728" t="inlineStr">
        <is>
          <t>№4</t>
        </is>
      </c>
      <c r="C380" s="310" t="inlineStr">
        <is>
          <t>電流値</t>
        </is>
      </c>
      <c r="D380" s="734" t="inlineStr">
        <is>
          <t>Ａ</t>
        </is>
      </c>
      <c r="E380" s="933" t="n"/>
      <c r="F380" s="933" t="n"/>
      <c r="G380" s="933" t="n"/>
      <c r="H380" s="933" t="n"/>
      <c r="I380" s="939" t="n"/>
      <c r="J380" s="9" t="n"/>
      <c r="K380" s="9" t="n"/>
      <c r="L380" s="9" t="n"/>
      <c r="M380" s="9" t="n"/>
      <c r="N380" s="9" t="n"/>
      <c r="O380" s="9" t="n"/>
    </row>
    <row r="381">
      <c r="A381" s="679" t="n"/>
      <c r="B381" s="679" t="n"/>
      <c r="C381" s="314">
        <f>C378</f>
        <v/>
      </c>
      <c r="D381" s="315" t="n"/>
      <c r="E381" s="317" t="n"/>
      <c r="F381" s="317" t="n"/>
      <c r="G381" s="317" t="n"/>
      <c r="H381" s="317" t="n"/>
      <c r="I381" s="394" t="n"/>
      <c r="J381" s="9" t="n"/>
      <c r="K381" s="9" t="n"/>
      <c r="L381" s="9" t="n"/>
      <c r="M381" s="9" t="n"/>
      <c r="N381" s="9" t="n"/>
      <c r="O381" s="9" t="n"/>
    </row>
    <row r="382" ht="18" customHeight="1">
      <c r="A382" s="626" t="n"/>
      <c r="B382" s="626" t="n"/>
      <c r="C382" s="743" t="inlineStr">
        <is>
          <t>モード確認</t>
        </is>
      </c>
      <c r="D382" s="591" t="n"/>
      <c r="E382" s="321" t="n"/>
      <c r="F382" s="321" t="n"/>
      <c r="G382" s="321" t="n"/>
      <c r="H382" s="321" t="n"/>
      <c r="I382" s="395" t="n"/>
      <c r="J382" s="9" t="n"/>
      <c r="K382" s="9" t="n"/>
      <c r="L382" s="9" t="n"/>
      <c r="M382" s="9" t="n"/>
      <c r="N382" s="9" t="n"/>
      <c r="O382" s="9" t="n"/>
    </row>
    <row r="383">
      <c r="A383" s="729" t="inlineStr">
        <is>
          <t>消泡装置</t>
        </is>
      </c>
      <c r="B383" s="726" t="inlineStr">
        <is>
          <t>―</t>
        </is>
      </c>
      <c r="C383" s="310" t="inlineStr">
        <is>
          <t>消泡ノズル</t>
        </is>
      </c>
      <c r="D383" s="734" t="n"/>
      <c r="E383" s="333" t="n"/>
      <c r="F383" s="333" t="n"/>
      <c r="G383" s="333" t="n"/>
      <c r="H383" s="333" t="n"/>
      <c r="I383" s="400" t="n"/>
      <c r="J383" s="9" t="n"/>
      <c r="K383" s="9" t="n"/>
      <c r="L383" s="9" t="n"/>
      <c r="M383" s="9" t="n"/>
      <c r="N383" s="9" t="n"/>
      <c r="O383" s="9" t="n"/>
    </row>
    <row r="384">
      <c r="A384" s="626" t="n"/>
      <c r="B384" s="626" t="n"/>
      <c r="C384" s="334" t="inlineStr">
        <is>
          <t>消泡状態</t>
        </is>
      </c>
      <c r="D384" s="335" t="n"/>
      <c r="E384" s="325" t="n"/>
      <c r="F384" s="325" t="n"/>
      <c r="G384" s="325" t="n"/>
      <c r="H384" s="325" t="n"/>
      <c r="I384" s="397" t="n"/>
      <c r="J384" s="9" t="n"/>
      <c r="K384" s="9" t="n"/>
      <c r="L384" s="9" t="n"/>
      <c r="M384" s="9" t="n"/>
      <c r="N384" s="9" t="n"/>
      <c r="O384" s="9" t="n"/>
    </row>
    <row r="385">
      <c r="A385" s="729" t="inlineStr">
        <is>
          <t>流出可動堰</t>
        </is>
      </c>
      <c r="B385" s="336" t="n">
        <v>1</v>
      </c>
      <c r="C385" s="310" t="inlineStr">
        <is>
          <t>開度</t>
        </is>
      </c>
      <c r="D385" s="734" t="inlineStr">
        <is>
          <t>㎜</t>
        </is>
      </c>
      <c r="E385" s="327" t="n"/>
      <c r="F385" s="327" t="n"/>
      <c r="G385" s="327" t="n"/>
      <c r="H385" s="327" t="n"/>
      <c r="I385" s="398" t="n"/>
      <c r="J385" s="9" t="n"/>
      <c r="K385" s="9" t="n"/>
      <c r="L385" s="9" t="n"/>
      <c r="M385" s="9" t="n"/>
      <c r="N385" s="9" t="n"/>
      <c r="O385" s="9" t="n"/>
    </row>
    <row r="386">
      <c r="A386" s="626" t="n"/>
      <c r="B386" s="337" t="n">
        <v>2</v>
      </c>
      <c r="C386" s="334" t="inlineStr">
        <is>
          <t>開度</t>
        </is>
      </c>
      <c r="D386" s="335" t="inlineStr">
        <is>
          <t>㎜</t>
        </is>
      </c>
      <c r="E386" s="329" t="n"/>
      <c r="F386" s="329" t="n"/>
      <c r="G386" s="329" t="n"/>
      <c r="H386" s="329" t="n"/>
      <c r="I386" s="399" t="n"/>
      <c r="J386" s="9" t="n"/>
      <c r="K386" s="9" t="n"/>
      <c r="L386" s="9" t="n"/>
      <c r="M386" s="9" t="n"/>
      <c r="N386" s="9" t="n"/>
      <c r="O386" s="9" t="n"/>
    </row>
    <row r="387">
      <c r="A387" s="729" t="inlineStr">
        <is>
          <t>流出ゲート</t>
        </is>
      </c>
      <c r="B387" s="336" t="n">
        <v>1</v>
      </c>
      <c r="C387" s="310" t="inlineStr">
        <is>
          <t>開度</t>
        </is>
      </c>
      <c r="D387" s="734" t="inlineStr">
        <is>
          <t>㎜</t>
        </is>
      </c>
      <c r="E387" s="333" t="n"/>
      <c r="F387" s="333" t="n"/>
      <c r="G387" s="333" t="n"/>
      <c r="H387" s="333" t="n"/>
      <c r="I387" s="400" t="n"/>
      <c r="J387" s="9" t="n"/>
      <c r="K387" s="9" t="n"/>
      <c r="L387" s="9" t="n"/>
      <c r="M387" s="9" t="n"/>
      <c r="N387" s="9" t="n"/>
      <c r="O387" s="9" t="n"/>
    </row>
    <row r="388">
      <c r="A388" s="626" t="n"/>
      <c r="B388" s="337" t="n">
        <v>2</v>
      </c>
      <c r="C388" s="334" t="inlineStr">
        <is>
          <t>開度</t>
        </is>
      </c>
      <c r="D388" s="335" t="inlineStr">
        <is>
          <t>㎜</t>
        </is>
      </c>
      <c r="E388" s="325" t="n"/>
      <c r="F388" s="325" t="n"/>
      <c r="G388" s="325" t="n"/>
      <c r="H388" s="325" t="n"/>
      <c r="I388" s="397" t="n"/>
      <c r="J388" s="9" t="n"/>
      <c r="K388" s="9" t="n"/>
      <c r="L388" s="9" t="n"/>
      <c r="M388" s="9" t="n"/>
      <c r="N388" s="9" t="n"/>
      <c r="O388" s="9" t="n"/>
    </row>
    <row r="389">
      <c r="A389" s="729" t="inlineStr">
        <is>
          <t>連絡ゲート</t>
        </is>
      </c>
      <c r="B389" s="726" t="inlineStr">
        <is>
          <t>－</t>
        </is>
      </c>
      <c r="C389" s="306" t="inlineStr">
        <is>
          <t>開度</t>
        </is>
      </c>
      <c r="D389" s="307" t="inlineStr">
        <is>
          <t>㎜</t>
        </is>
      </c>
      <c r="E389" s="309" t="n"/>
      <c r="F389" s="309" t="n"/>
      <c r="G389" s="309" t="n"/>
      <c r="H389" s="309" t="n"/>
      <c r="I389" s="392" t="n"/>
      <c r="J389" s="9" t="n"/>
      <c r="K389" s="9" t="n"/>
      <c r="L389" s="9" t="n"/>
      <c r="M389" s="9" t="n"/>
      <c r="N389" s="9" t="n"/>
      <c r="O389" s="9" t="n"/>
    </row>
    <row r="390">
      <c r="A390" s="741" t="inlineStr">
        <is>
          <t>終沈汚泥掻寄機</t>
        </is>
      </c>
      <c r="B390" s="726" t="n">
        <v>1</v>
      </c>
      <c r="C390" s="310" t="inlineStr">
        <is>
          <t>電流値</t>
        </is>
      </c>
      <c r="D390" s="734" t="inlineStr">
        <is>
          <t>Ａ</t>
        </is>
      </c>
      <c r="E390" s="339" t="n"/>
      <c r="F390" s="339" t="n"/>
      <c r="G390" s="339" t="n"/>
      <c r="H390" s="339" t="n"/>
      <c r="I390" s="401" t="n"/>
      <c r="J390" s="9" t="n"/>
      <c r="K390" s="9" t="n"/>
      <c r="L390" s="9" t="n"/>
      <c r="M390" s="9" t="n"/>
      <c r="N390" s="9" t="n"/>
      <c r="O390" s="9" t="n"/>
    </row>
    <row r="391">
      <c r="A391" s="679" t="n"/>
      <c r="B391" s="626" t="n"/>
      <c r="C391" s="340" t="inlineStr">
        <is>
          <t>異音、振動等</t>
        </is>
      </c>
      <c r="D391" s="335" t="n"/>
      <c r="E391" s="325" t="n"/>
      <c r="F391" s="325" t="n"/>
      <c r="G391" s="325" t="n"/>
      <c r="H391" s="325" t="n"/>
      <c r="I391" s="397" t="n"/>
      <c r="J391" s="9" t="n"/>
      <c r="K391" s="9" t="n"/>
      <c r="L391" s="9" t="n"/>
      <c r="M391" s="9" t="n"/>
      <c r="N391" s="9" t="n"/>
      <c r="O391" s="9" t="n"/>
    </row>
    <row r="392">
      <c r="A392" s="679" t="n"/>
      <c r="B392" s="726" t="n">
        <v>2</v>
      </c>
      <c r="C392" s="341" t="inlineStr">
        <is>
          <t>電流値</t>
        </is>
      </c>
      <c r="D392" s="342" t="inlineStr">
        <is>
          <t>Ａ</t>
        </is>
      </c>
      <c r="E392" s="339" t="n"/>
      <c r="F392" s="339" t="n"/>
      <c r="G392" s="339" t="n"/>
      <c r="H392" s="339" t="n"/>
      <c r="I392" s="401" t="n"/>
      <c r="J392" s="9" t="n"/>
      <c r="K392" s="9" t="n"/>
      <c r="L392" s="9" t="n"/>
      <c r="M392" s="9" t="n"/>
      <c r="N392" s="9" t="n"/>
      <c r="O392" s="9" t="n"/>
    </row>
    <row r="393">
      <c r="A393" s="626" t="n"/>
      <c r="B393" s="626" t="n"/>
      <c r="C393" s="318">
        <f>C391</f>
        <v/>
      </c>
      <c r="D393" s="319" t="n"/>
      <c r="E393" s="321" t="n"/>
      <c r="F393" s="321" t="n"/>
      <c r="G393" s="321" t="n"/>
      <c r="H393" s="321" t="n"/>
      <c r="I393" s="395" t="n"/>
      <c r="J393" s="9" t="n"/>
      <c r="K393" s="9" t="n"/>
      <c r="L393" s="9" t="n"/>
      <c r="M393" s="9" t="n"/>
      <c r="N393" s="9" t="n"/>
      <c r="O393" s="9" t="n"/>
    </row>
    <row r="394">
      <c r="A394" s="741" t="inlineStr">
        <is>
          <t>スカムスキマー</t>
        </is>
      </c>
      <c r="B394" s="726" t="n">
        <v>1</v>
      </c>
      <c r="C394" s="310" t="inlineStr">
        <is>
          <t>動作状況</t>
        </is>
      </c>
      <c r="D394" s="734" t="n"/>
      <c r="E394" s="333" t="n"/>
      <c r="F394" s="333" t="n"/>
      <c r="G394" s="333" t="n"/>
      <c r="H394" s="333" t="n"/>
      <c r="I394" s="400" t="n"/>
      <c r="J394" s="9" t="n"/>
      <c r="K394" s="9" t="n"/>
      <c r="L394" s="9" t="n"/>
      <c r="M394" s="9" t="n"/>
      <c r="N394" s="9" t="n"/>
      <c r="O394" s="9" t="n"/>
    </row>
    <row r="395">
      <c r="A395" s="679" t="n"/>
      <c r="B395" s="626" t="n"/>
      <c r="C395" s="334" t="inlineStr">
        <is>
          <t>スカムの状況</t>
        </is>
      </c>
      <c r="D395" s="335" t="n"/>
      <c r="E395" s="325" t="n"/>
      <c r="F395" s="325" t="n"/>
      <c r="G395" s="325" t="n"/>
      <c r="H395" s="325" t="n"/>
      <c r="I395" s="397" t="n"/>
      <c r="J395" s="9" t="n"/>
      <c r="K395" s="9" t="n"/>
      <c r="L395" s="9" t="n"/>
      <c r="M395" s="9" t="n"/>
      <c r="N395" s="9" t="n"/>
      <c r="O395" s="9" t="n"/>
    </row>
    <row r="396">
      <c r="A396" s="679" t="n"/>
      <c r="B396" s="726" t="n">
        <v>2</v>
      </c>
      <c r="C396" s="341" t="inlineStr">
        <is>
          <t>動作状況</t>
        </is>
      </c>
      <c r="D396" s="342" t="n"/>
      <c r="E396" s="327" t="n"/>
      <c r="F396" s="327" t="n"/>
      <c r="G396" s="327" t="n"/>
      <c r="H396" s="327" t="n"/>
      <c r="I396" s="398" t="n"/>
      <c r="J396" s="9" t="n"/>
      <c r="K396" s="9" t="n"/>
      <c r="L396" s="9" t="n"/>
      <c r="M396" s="9" t="n"/>
      <c r="N396" s="9" t="n"/>
      <c r="O396" s="9" t="n"/>
    </row>
    <row r="397">
      <c r="A397" s="626" t="n"/>
      <c r="B397" s="626" t="n"/>
      <c r="C397" s="318" t="inlineStr">
        <is>
          <t>スカムの状況</t>
        </is>
      </c>
      <c r="D397" s="319" t="n"/>
      <c r="E397" s="321" t="n"/>
      <c r="F397" s="321" t="n"/>
      <c r="G397" s="321" t="n"/>
      <c r="H397" s="321" t="n"/>
      <c r="I397" s="395" t="n"/>
      <c r="J397" s="9" t="n"/>
      <c r="K397" s="9" t="n"/>
      <c r="L397" s="9" t="n"/>
      <c r="M397" s="9" t="n"/>
      <c r="N397" s="9" t="n"/>
      <c r="O397" s="9" t="n"/>
    </row>
    <row r="398">
      <c r="A398" s="749" t="inlineStr">
        <is>
          <t>返送汚泥ポンプ</t>
        </is>
      </c>
      <c r="B398" s="728" t="inlineStr">
        <is>
          <t>№1</t>
        </is>
      </c>
      <c r="C398" s="310" t="inlineStr">
        <is>
          <t>電流値</t>
        </is>
      </c>
      <c r="D398" s="734" t="inlineStr">
        <is>
          <t>Ａ</t>
        </is>
      </c>
      <c r="E398" s="933" t="n"/>
      <c r="F398" s="933" t="n"/>
      <c r="G398" s="933" t="n"/>
      <c r="H398" s="933" t="n"/>
      <c r="I398" s="939" t="n"/>
      <c r="J398" s="9" t="n"/>
      <c r="K398" s="9" t="n"/>
      <c r="L398" s="9" t="n"/>
      <c r="M398" s="9" t="n"/>
      <c r="N398" s="9" t="n"/>
      <c r="O398" s="9" t="n"/>
    </row>
    <row r="399">
      <c r="A399" s="679" t="n"/>
      <c r="B399" s="679" t="n"/>
      <c r="C399" s="314" t="inlineStr">
        <is>
          <t>吐出圧力</t>
        </is>
      </c>
      <c r="D399" s="315" t="inlineStr">
        <is>
          <t>Mpa</t>
        </is>
      </c>
      <c r="E399" s="317" t="n"/>
      <c r="F399" s="317" t="n"/>
      <c r="G399" s="317" t="n"/>
      <c r="H399" s="317" t="n"/>
      <c r="I399" s="394" t="n"/>
      <c r="J399" s="9" t="n"/>
      <c r="K399" s="9" t="n"/>
      <c r="L399" s="9" t="n"/>
      <c r="M399" s="9" t="n"/>
      <c r="N399" s="9" t="n"/>
      <c r="O399" s="9" t="n"/>
    </row>
    <row r="400">
      <c r="A400" s="679" t="n"/>
      <c r="B400" s="626" t="n"/>
      <c r="C400" s="318" t="inlineStr">
        <is>
          <t>異音、振動</t>
        </is>
      </c>
      <c r="D400" s="319" t="n"/>
      <c r="E400" s="321" t="n"/>
      <c r="F400" s="321" t="n"/>
      <c r="G400" s="321" t="n"/>
      <c r="H400" s="321" t="n"/>
      <c r="I400" s="395" t="n"/>
      <c r="J400" s="9" t="n"/>
      <c r="K400" s="9" t="n"/>
      <c r="L400" s="9" t="n"/>
      <c r="M400" s="9" t="n"/>
      <c r="N400" s="9" t="n"/>
      <c r="O400" s="9" t="n"/>
    </row>
    <row r="401">
      <c r="A401" s="679" t="n"/>
      <c r="B401" s="728" t="inlineStr">
        <is>
          <t>№2</t>
        </is>
      </c>
      <c r="C401" s="310" t="inlineStr">
        <is>
          <t>電流値</t>
        </is>
      </c>
      <c r="D401" s="734" t="inlineStr">
        <is>
          <t>Ａ</t>
        </is>
      </c>
      <c r="E401" s="333" t="n"/>
      <c r="F401" s="333" t="n"/>
      <c r="G401" s="333" t="n"/>
      <c r="H401" s="333" t="n"/>
      <c r="I401" s="400" t="n"/>
      <c r="J401" s="9" t="n"/>
      <c r="K401" s="9" t="n"/>
      <c r="L401" s="9" t="n"/>
      <c r="M401" s="9" t="n"/>
      <c r="N401" s="9" t="n"/>
      <c r="O401" s="9" t="n"/>
    </row>
    <row r="402">
      <c r="A402" s="679" t="n"/>
      <c r="B402" s="679" t="n"/>
      <c r="C402" s="314">
        <f>C399</f>
        <v/>
      </c>
      <c r="D402" s="315" t="inlineStr">
        <is>
          <t>Mpa</t>
        </is>
      </c>
      <c r="E402" s="317" t="n"/>
      <c r="F402" s="317" t="n"/>
      <c r="G402" s="317" t="n"/>
      <c r="H402" s="317" t="n"/>
      <c r="I402" s="394" t="n"/>
      <c r="J402" s="9" t="n"/>
      <c r="K402" s="9" t="n"/>
      <c r="L402" s="9" t="n"/>
      <c r="M402" s="9" t="n"/>
      <c r="N402" s="9" t="n"/>
      <c r="O402" s="9" t="n"/>
    </row>
    <row r="403">
      <c r="A403" s="679" t="n"/>
      <c r="B403" s="626" t="n"/>
      <c r="C403" s="318" t="inlineStr">
        <is>
          <t>異音、振動</t>
        </is>
      </c>
      <c r="D403" s="319" t="n"/>
      <c r="E403" s="321" t="n"/>
      <c r="F403" s="321" t="n"/>
      <c r="G403" s="321" t="n"/>
      <c r="H403" s="321" t="n"/>
      <c r="I403" s="395" t="n"/>
      <c r="J403" s="9" t="n"/>
      <c r="K403" s="9" t="n"/>
      <c r="L403" s="9" t="n"/>
      <c r="M403" s="9" t="n"/>
      <c r="N403" s="9" t="n"/>
      <c r="O403" s="9" t="n"/>
    </row>
    <row r="404">
      <c r="A404" s="679" t="n"/>
      <c r="B404" s="728" t="inlineStr">
        <is>
          <t>―</t>
        </is>
      </c>
      <c r="C404" s="310" t="inlineStr">
        <is>
          <t>モード確認</t>
        </is>
      </c>
      <c r="D404" s="734" t="n"/>
      <c r="E404" s="333" t="n"/>
      <c r="F404" s="333" t="n"/>
      <c r="G404" s="333" t="n"/>
      <c r="H404" s="333" t="n"/>
      <c r="I404" s="400" t="n"/>
      <c r="J404" s="9" t="n"/>
      <c r="K404" s="9" t="n"/>
      <c r="L404" s="9" t="n"/>
      <c r="M404" s="9" t="n"/>
      <c r="N404" s="9" t="n"/>
      <c r="O404" s="9" t="n"/>
    </row>
    <row r="405">
      <c r="A405" s="679" t="n"/>
      <c r="B405" s="626" t="n"/>
      <c r="C405" s="334" t="inlineStr">
        <is>
          <t>常用機選択</t>
        </is>
      </c>
      <c r="D405" s="335" t="n"/>
      <c r="E405" s="325" t="n"/>
      <c r="F405" s="325" t="n"/>
      <c r="G405" s="325" t="n"/>
      <c r="H405" s="325" t="n"/>
      <c r="I405" s="397" t="n"/>
      <c r="J405" s="9" t="n"/>
      <c r="K405" s="343" t="n"/>
      <c r="L405" s="343" t="n"/>
      <c r="M405" s="9" t="n"/>
      <c r="N405" s="9" t="n"/>
      <c r="O405" s="9" t="n"/>
    </row>
    <row r="406">
      <c r="A406" s="679" t="n"/>
      <c r="B406" s="728" t="inlineStr">
        <is>
          <t>№3</t>
        </is>
      </c>
      <c r="C406" s="310" t="inlineStr">
        <is>
          <t>電流値</t>
        </is>
      </c>
      <c r="D406" s="734" t="inlineStr">
        <is>
          <t>Ａ</t>
        </is>
      </c>
      <c r="E406" s="933" t="n"/>
      <c r="F406" s="933" t="n"/>
      <c r="G406" s="933" t="n"/>
      <c r="H406" s="933" t="n"/>
      <c r="I406" s="939" t="n"/>
      <c r="J406" s="9" t="n"/>
      <c r="K406" s="9" t="n"/>
      <c r="L406" s="9" t="n"/>
      <c r="M406" s="9" t="n"/>
      <c r="N406" s="9" t="n"/>
      <c r="O406" s="9" t="n"/>
    </row>
    <row r="407">
      <c r="A407" s="679" t="n"/>
      <c r="B407" s="679" t="n"/>
      <c r="C407" s="314">
        <f>C402</f>
        <v/>
      </c>
      <c r="D407" s="315" t="inlineStr">
        <is>
          <t>Mpa</t>
        </is>
      </c>
      <c r="E407" s="317" t="n"/>
      <c r="F407" s="317" t="n"/>
      <c r="G407" s="317" t="n"/>
      <c r="H407" s="317" t="n"/>
      <c r="I407" s="394" t="n"/>
      <c r="J407" s="9" t="n"/>
      <c r="K407" s="9" t="n"/>
      <c r="L407" s="9" t="n"/>
      <c r="M407" s="9" t="n"/>
      <c r="N407" s="9" t="n"/>
      <c r="O407" s="9" t="n"/>
    </row>
    <row r="408">
      <c r="A408" s="679" t="n"/>
      <c r="B408" s="626" t="n"/>
      <c r="C408" s="318" t="inlineStr">
        <is>
          <t>異音、振動</t>
        </is>
      </c>
      <c r="D408" s="319" t="n"/>
      <c r="E408" s="321" t="n"/>
      <c r="F408" s="321" t="n"/>
      <c r="G408" s="321" t="n"/>
      <c r="H408" s="321" t="n"/>
      <c r="I408" s="395" t="n"/>
      <c r="J408" s="9" t="n"/>
      <c r="K408" s="9" t="n"/>
      <c r="L408" s="9" t="n"/>
      <c r="M408" s="9" t="n"/>
      <c r="N408" s="9" t="n"/>
      <c r="O408" s="9" t="n"/>
    </row>
    <row r="409">
      <c r="A409" s="679" t="n"/>
      <c r="B409" s="728" t="inlineStr">
        <is>
          <t>№4</t>
        </is>
      </c>
      <c r="C409" s="310" t="inlineStr">
        <is>
          <t>電流値</t>
        </is>
      </c>
      <c r="D409" s="734" t="inlineStr">
        <is>
          <t>Ａ</t>
        </is>
      </c>
      <c r="E409" s="333" t="n"/>
      <c r="F409" s="333" t="n"/>
      <c r="G409" s="333" t="n"/>
      <c r="H409" s="333" t="n"/>
      <c r="I409" s="400" t="n"/>
      <c r="J409" s="9" t="n"/>
      <c r="K409" s="9" t="n"/>
      <c r="L409" s="9" t="n"/>
      <c r="M409" s="9" t="n"/>
      <c r="N409" s="9" t="n"/>
      <c r="O409" s="9" t="n"/>
    </row>
    <row r="410">
      <c r="A410" s="679" t="n"/>
      <c r="B410" s="679" t="n"/>
      <c r="C410" s="314">
        <f>C407</f>
        <v/>
      </c>
      <c r="D410" s="315" t="inlineStr">
        <is>
          <t>Mpa</t>
        </is>
      </c>
      <c r="E410" s="317" t="n"/>
      <c r="F410" s="317" t="n"/>
      <c r="G410" s="317" t="n"/>
      <c r="H410" s="317" t="n"/>
      <c r="I410" s="394" t="n"/>
      <c r="J410" s="9" t="n"/>
      <c r="K410" s="9" t="n"/>
      <c r="L410" s="9" t="n"/>
      <c r="M410" s="9" t="n"/>
      <c r="N410" s="9" t="n"/>
      <c r="O410" s="9" t="n"/>
    </row>
    <row r="411">
      <c r="A411" s="679" t="n"/>
      <c r="B411" s="626" t="n"/>
      <c r="C411" s="318" t="inlineStr">
        <is>
          <t>異音、振動</t>
        </is>
      </c>
      <c r="D411" s="319" t="n"/>
      <c r="E411" s="321" t="n"/>
      <c r="F411" s="321" t="n"/>
      <c r="G411" s="321" t="n"/>
      <c r="H411" s="321" t="n"/>
      <c r="I411" s="395" t="n"/>
      <c r="J411" s="9" t="n"/>
      <c r="K411" s="9" t="n"/>
      <c r="L411" s="9" t="n"/>
      <c r="M411" s="9" t="n"/>
      <c r="N411" s="9" t="n"/>
      <c r="O411" s="9" t="n"/>
    </row>
    <row r="412">
      <c r="A412" s="679" t="n"/>
      <c r="B412" s="754" t="inlineStr">
        <is>
          <t>―</t>
        </is>
      </c>
      <c r="C412" s="310" t="inlineStr">
        <is>
          <t>モード確認</t>
        </is>
      </c>
      <c r="D412" s="734" t="n"/>
      <c r="E412" s="333" t="n"/>
      <c r="F412" s="333" t="n"/>
      <c r="G412" s="333" t="n"/>
      <c r="H412" s="333" t="n"/>
      <c r="I412" s="400" t="n"/>
      <c r="J412" s="9" t="n"/>
      <c r="K412" s="9" t="n"/>
      <c r="L412" s="9" t="n"/>
      <c r="M412" s="9" t="n"/>
      <c r="N412" s="9" t="n"/>
      <c r="O412" s="9" t="n"/>
    </row>
    <row r="413">
      <c r="A413" s="679" t="n"/>
      <c r="B413" s="679" t="n"/>
      <c r="C413" s="334" t="inlineStr">
        <is>
          <t>常用機選択</t>
        </is>
      </c>
      <c r="D413" s="335" t="n"/>
      <c r="E413" s="325" t="n"/>
      <c r="F413" s="325" t="n"/>
      <c r="G413" s="325" t="n"/>
      <c r="H413" s="325" t="n"/>
      <c r="I413" s="397" t="n"/>
      <c r="J413" s="9" t="n"/>
      <c r="K413" s="343" t="n"/>
      <c r="L413" s="343" t="n"/>
      <c r="M413" s="343" t="n"/>
      <c r="N413" s="9" t="n"/>
      <c r="O413" s="9" t="n"/>
    </row>
    <row r="414" ht="18" customHeight="1">
      <c r="A414" s="747" t="inlineStr">
        <is>
          <t xml:space="preserve">　○：良　　△：要注意　　×：要修理</t>
        </is>
      </c>
      <c r="B414" s="586" t="n"/>
      <c r="C414" s="586" t="n"/>
      <c r="D414" s="586" t="n"/>
      <c r="E414" s="586" t="n"/>
      <c r="F414" s="586" t="n"/>
      <c r="G414" s="586" t="n"/>
      <c r="H414" s="586" t="n"/>
      <c r="I414" s="586" t="n"/>
      <c r="J414" s="9" t="n"/>
      <c r="K414" s="9" t="n"/>
      <c r="L414" s="9" t="n"/>
      <c r="M414" s="9" t="n"/>
      <c r="N414" s="9" t="n"/>
      <c r="O414" s="9" t="n"/>
    </row>
    <row r="415" ht="22" customHeight="1">
      <c r="A415" s="299" t="inlineStr">
        <is>
          <t>機械設備日常点検表（２/３）</t>
        </is>
      </c>
      <c r="B415" s="594" t="n"/>
      <c r="C415" s="300" t="n"/>
      <c r="D415" s="594" t="n"/>
      <c r="E415" s="594" t="n"/>
      <c r="F415" s="594" t="n"/>
      <c r="G415" s="594" t="n"/>
      <c r="H415" s="300">
        <f>H355</f>
        <v/>
      </c>
      <c r="I415" s="594" t="n"/>
      <c r="J415" s="9" t="n"/>
      <c r="K415" s="9" t="n"/>
      <c r="L415" s="9" t="n"/>
      <c r="M415" s="9" t="n"/>
      <c r="N415" s="9" t="n"/>
      <c r="O415" s="9" t="n"/>
    </row>
    <row r="416" ht="18" customHeight="1">
      <c r="A416" s="726" t="inlineStr">
        <is>
          <t>機　器　名</t>
        </is>
      </c>
      <c r="B416" s="726" t="inlineStr">
        <is>
          <t>No</t>
        </is>
      </c>
      <c r="C416" s="726" t="inlineStr">
        <is>
          <t>点 検 者</t>
        </is>
      </c>
      <c r="D416" s="580" t="n"/>
      <c r="E416" s="726">
        <f>E356</f>
        <v/>
      </c>
      <c r="F416" s="726">
        <f>F356</f>
        <v/>
      </c>
      <c r="G416" s="726">
        <f>G356</f>
        <v/>
      </c>
      <c r="H416" s="726">
        <f>H356</f>
        <v/>
      </c>
      <c r="I416" s="391">
        <f>I356</f>
        <v/>
      </c>
      <c r="J416" s="9" t="n"/>
      <c r="K416" s="9" t="n"/>
      <c r="L416" s="9" t="n"/>
      <c r="M416" s="9" t="n"/>
      <c r="N416" s="9" t="n"/>
      <c r="O416" s="9" t="n"/>
    </row>
    <row r="417" ht="18" customHeight="1">
      <c r="A417" s="626" t="n"/>
      <c r="B417" s="626" t="n"/>
      <c r="C417" s="726" t="inlineStr">
        <is>
          <t>点検内容</t>
        </is>
      </c>
      <c r="D417" s="580" t="n"/>
      <c r="E417" s="931">
        <f>E357</f>
        <v/>
      </c>
      <c r="F417" s="931">
        <f>F357</f>
        <v/>
      </c>
      <c r="G417" s="931">
        <f>G357</f>
        <v/>
      </c>
      <c r="H417" s="931">
        <f>H357</f>
        <v/>
      </c>
      <c r="I417" s="931">
        <f>I357</f>
        <v/>
      </c>
      <c r="J417" s="9" t="n"/>
      <c r="K417" s="9" t="n"/>
      <c r="L417" s="9" t="n"/>
      <c r="M417" s="9" t="n"/>
      <c r="N417" s="9" t="n"/>
      <c r="O417" s="9" t="n"/>
    </row>
    <row r="418">
      <c r="A418" s="741" t="inlineStr">
        <is>
          <t>余剰汚泥ポンプ</t>
        </is>
      </c>
      <c r="B418" s="726" t="n">
        <v>1</v>
      </c>
      <c r="C418" s="310" t="inlineStr">
        <is>
          <t>電流値</t>
        </is>
      </c>
      <c r="D418" s="734" t="inlineStr">
        <is>
          <t>Ａ</t>
        </is>
      </c>
      <c r="E418" s="933" t="n"/>
      <c r="F418" s="933" t="n"/>
      <c r="G418" s="933" t="n"/>
      <c r="H418" s="933" t="n"/>
      <c r="I418" s="939" t="n"/>
      <c r="J418" s="9" t="n"/>
      <c r="K418" s="9" t="n"/>
      <c r="L418" s="938" t="n"/>
      <c r="M418" s="9" t="n"/>
      <c r="N418" s="938" t="n"/>
      <c r="O418" s="9" t="n"/>
    </row>
    <row r="419">
      <c r="A419" s="679" t="n"/>
      <c r="B419" s="679" t="n"/>
      <c r="C419" s="314">
        <f>C407</f>
        <v/>
      </c>
      <c r="D419" s="315" t="inlineStr">
        <is>
          <t>Mpa</t>
        </is>
      </c>
      <c r="E419" s="317" t="n"/>
      <c r="F419" s="317" t="n"/>
      <c r="G419" s="317" t="n"/>
      <c r="H419" s="317" t="n"/>
      <c r="I419" s="394" t="n"/>
      <c r="J419" s="9" t="n"/>
      <c r="K419" s="9" t="n"/>
      <c r="L419" s="345" t="n"/>
      <c r="M419" s="9" t="n"/>
      <c r="N419" s="345" t="n"/>
      <c r="O419" s="9" t="n"/>
    </row>
    <row r="420">
      <c r="A420" s="679" t="n"/>
      <c r="B420" s="679" t="n"/>
      <c r="C420" s="330" t="inlineStr">
        <is>
          <t>異音、振動</t>
        </is>
      </c>
      <c r="D420" s="331" t="n"/>
      <c r="E420" s="329" t="n"/>
      <c r="F420" s="329" t="n"/>
      <c r="G420" s="329" t="n"/>
      <c r="H420" s="329" t="n"/>
      <c r="I420" s="399" t="n"/>
      <c r="J420" s="9" t="n"/>
      <c r="K420" s="9" t="n"/>
      <c r="L420" s="345" t="n"/>
      <c r="M420" s="9" t="n"/>
      <c r="N420" s="345" t="n"/>
      <c r="O420" s="9" t="n"/>
    </row>
    <row r="421">
      <c r="A421" s="679" t="n"/>
      <c r="B421" s="679" t="n"/>
      <c r="C421" s="314" t="inlineStr">
        <is>
          <t>液漏れ</t>
        </is>
      </c>
      <c r="D421" s="315" t="n"/>
      <c r="E421" s="317" t="n"/>
      <c r="F421" s="317" t="n"/>
      <c r="G421" s="317" t="n"/>
      <c r="H421" s="317" t="n"/>
      <c r="I421" s="394" t="n"/>
      <c r="J421" s="9" t="n"/>
      <c r="K421" s="9" t="n"/>
      <c r="L421" s="345" t="n"/>
      <c r="M421" s="9" t="n"/>
      <c r="N421" s="345" t="n"/>
      <c r="O421" s="9" t="n"/>
    </row>
    <row r="422">
      <c r="A422" s="679" t="n"/>
      <c r="B422" s="626" t="n"/>
      <c r="C422" s="318" t="inlineStr">
        <is>
          <t>モード確認</t>
        </is>
      </c>
      <c r="D422" s="319" t="n"/>
      <c r="E422" s="325" t="n"/>
      <c r="F422" s="325" t="n"/>
      <c r="G422" s="325" t="n"/>
      <c r="H422" s="325" t="n"/>
      <c r="I422" s="397" t="n"/>
      <c r="J422" s="9" t="n"/>
      <c r="K422" s="9" t="n"/>
      <c r="L422" s="345" t="n"/>
      <c r="M422" s="9" t="n"/>
      <c r="N422" s="345" t="n"/>
      <c r="O422" s="9" t="n"/>
    </row>
    <row r="423">
      <c r="A423" s="679" t="n"/>
      <c r="B423" s="726" t="n">
        <v>2</v>
      </c>
      <c r="C423" s="310" t="inlineStr">
        <is>
          <t>電流値</t>
        </is>
      </c>
      <c r="D423" s="734" t="inlineStr">
        <is>
          <t>Ａ</t>
        </is>
      </c>
      <c r="E423" s="933" t="n"/>
      <c r="F423" s="933" t="n"/>
      <c r="G423" s="933" t="n"/>
      <c r="H423" s="933" t="n"/>
      <c r="I423" s="939" t="n"/>
      <c r="J423" s="9" t="n"/>
      <c r="K423" s="9" t="n"/>
      <c r="L423" s="938" t="n"/>
      <c r="M423" s="9" t="n"/>
      <c r="N423" s="938" t="n"/>
      <c r="O423" s="9" t="n"/>
    </row>
    <row r="424">
      <c r="A424" s="679" t="n"/>
      <c r="B424" s="679" t="n"/>
      <c r="C424" s="314">
        <f>C419</f>
        <v/>
      </c>
      <c r="D424" s="315" t="inlineStr">
        <is>
          <t>Mpa</t>
        </is>
      </c>
      <c r="E424" s="317" t="n"/>
      <c r="F424" s="317" t="n"/>
      <c r="G424" s="317" t="n"/>
      <c r="H424" s="317" t="n"/>
      <c r="I424" s="394" t="n"/>
      <c r="J424" s="9" t="n"/>
      <c r="K424" s="9" t="n"/>
      <c r="L424" s="345" t="n"/>
      <c r="M424" s="9" t="n"/>
      <c r="N424" s="345" t="n"/>
      <c r="O424" s="9" t="n"/>
    </row>
    <row r="425">
      <c r="A425" s="679" t="n"/>
      <c r="B425" s="679" t="n"/>
      <c r="C425" s="330" t="inlineStr">
        <is>
          <t>異音、振動</t>
        </is>
      </c>
      <c r="D425" s="331" t="n"/>
      <c r="E425" s="329" t="n"/>
      <c r="F425" s="329" t="n"/>
      <c r="G425" s="329" t="n"/>
      <c r="H425" s="329" t="n"/>
      <c r="I425" s="399" t="n"/>
      <c r="J425" s="9" t="n"/>
      <c r="K425" s="9" t="n"/>
      <c r="L425" s="345" t="n"/>
      <c r="M425" s="9" t="n"/>
      <c r="N425" s="345" t="n"/>
      <c r="O425" s="9" t="n"/>
    </row>
    <row r="426">
      <c r="A426" s="679" t="n"/>
      <c r="B426" s="679" t="n"/>
      <c r="C426" s="314" t="inlineStr">
        <is>
          <t>液漏れ</t>
        </is>
      </c>
      <c r="D426" s="315" t="n"/>
      <c r="E426" s="317" t="n"/>
      <c r="F426" s="317" t="n"/>
      <c r="G426" s="317" t="n"/>
      <c r="H426" s="317" t="n"/>
      <c r="I426" s="394" t="n"/>
      <c r="J426" s="9" t="n"/>
      <c r="K426" s="9" t="n"/>
      <c r="L426" s="345" t="n"/>
      <c r="M426" s="9" t="n"/>
      <c r="N426" s="345" t="n"/>
      <c r="O426" s="9" t="n"/>
    </row>
    <row r="427">
      <c r="A427" s="626" t="n"/>
      <c r="B427" s="626" t="n"/>
      <c r="C427" s="318" t="inlineStr">
        <is>
          <t>モード確認</t>
        </is>
      </c>
      <c r="D427" s="319" t="n"/>
      <c r="E427" s="325" t="n"/>
      <c r="F427" s="325" t="n"/>
      <c r="G427" s="325" t="n"/>
      <c r="H427" s="325" t="n"/>
      <c r="I427" s="397" t="n"/>
      <c r="J427" s="9" t="n"/>
      <c r="K427" s="9" t="n"/>
      <c r="L427" s="345" t="n"/>
      <c r="M427" s="9" t="n"/>
      <c r="N427" s="345" t="n"/>
      <c r="O427" s="9" t="n"/>
    </row>
    <row r="428">
      <c r="A428" s="727" t="inlineStr">
        <is>
          <t>終沈床排水ポンプ</t>
        </is>
      </c>
      <c r="B428" s="726" t="inlineStr">
        <is>
          <t>―</t>
        </is>
      </c>
      <c r="C428" s="341" t="inlineStr">
        <is>
          <t>電流値</t>
        </is>
      </c>
      <c r="D428" s="342" t="inlineStr">
        <is>
          <t>Ａ</t>
        </is>
      </c>
      <c r="E428" s="935" t="n"/>
      <c r="F428" s="935" t="n"/>
      <c r="G428" s="935" t="n"/>
      <c r="H428" s="935" t="n"/>
      <c r="I428" s="940" t="n"/>
      <c r="J428" s="9" t="n"/>
      <c r="K428" s="9" t="n"/>
      <c r="L428" s="9" t="n"/>
      <c r="M428" s="9" t="n"/>
      <c r="N428" s="9" t="n"/>
      <c r="O428" s="9" t="n"/>
    </row>
    <row r="429">
      <c r="A429" s="679" t="n"/>
      <c r="B429" s="679" t="n"/>
      <c r="C429" s="330" t="inlineStr">
        <is>
          <t>吐出圧力</t>
        </is>
      </c>
      <c r="D429" s="331" t="inlineStr">
        <is>
          <t>Mpa</t>
        </is>
      </c>
      <c r="E429" s="329" t="n"/>
      <c r="F429" s="329" t="n"/>
      <c r="G429" s="329" t="n"/>
      <c r="H429" s="329" t="n"/>
      <c r="I429" s="399" t="n"/>
      <c r="J429" s="9" t="n"/>
      <c r="K429" s="9" t="n"/>
      <c r="L429" s="9" t="n"/>
      <c r="M429" s="9" t="n"/>
      <c r="N429" s="9" t="n"/>
      <c r="O429" s="9" t="n"/>
    </row>
    <row r="430">
      <c r="A430" s="679" t="n"/>
      <c r="B430" s="679" t="n"/>
      <c r="C430" s="314">
        <f>C425</f>
        <v/>
      </c>
      <c r="D430" s="315" t="n"/>
      <c r="E430" s="317" t="n"/>
      <c r="F430" s="317" t="n"/>
      <c r="G430" s="317" t="n"/>
      <c r="H430" s="317" t="n"/>
      <c r="I430" s="394" t="n"/>
      <c r="J430" s="9" t="n"/>
      <c r="K430" s="9" t="n"/>
      <c r="L430" s="9" t="n"/>
      <c r="M430" s="9" t="n"/>
      <c r="N430" s="9" t="n"/>
      <c r="O430" s="9" t="n"/>
    </row>
    <row r="431">
      <c r="A431" s="626" t="n"/>
      <c r="B431" s="626" t="n"/>
      <c r="C431" s="318">
        <f>C427</f>
        <v/>
      </c>
      <c r="D431" s="319" t="n"/>
      <c r="E431" s="325" t="n"/>
      <c r="F431" s="325" t="n"/>
      <c r="G431" s="325" t="n"/>
      <c r="H431" s="325" t="n"/>
      <c r="I431" s="397" t="n"/>
      <c r="J431" s="9" t="n"/>
      <c r="K431" s="9" t="n"/>
      <c r="L431" s="9" t="n"/>
      <c r="M431" s="9" t="n"/>
      <c r="N431" s="9" t="n"/>
      <c r="O431" s="9" t="n"/>
    </row>
    <row r="432">
      <c r="A432" s="727" t="inlineStr">
        <is>
          <t>返流水ポンプ</t>
        </is>
      </c>
      <c r="B432" s="728" t="inlineStr">
        <is>
          <t>№1</t>
        </is>
      </c>
      <c r="C432" s="314" t="inlineStr">
        <is>
          <t>吐出圧力</t>
        </is>
      </c>
      <c r="D432" s="315" t="inlineStr">
        <is>
          <t>Mpa</t>
        </is>
      </c>
      <c r="E432" s="317" t="n"/>
      <c r="F432" s="317" t="n"/>
      <c r="G432" s="317" t="n"/>
      <c r="H432" s="317" t="n"/>
      <c r="I432" s="394" t="n"/>
      <c r="J432" s="9" t="n"/>
      <c r="K432" s="9" t="n"/>
      <c r="L432" s="9" t="n"/>
      <c r="M432" s="9" t="n"/>
      <c r="N432" s="9" t="n"/>
      <c r="O432" s="9" t="n"/>
    </row>
    <row r="433">
      <c r="A433" s="679" t="n"/>
      <c r="B433" s="626" t="n"/>
      <c r="C433" s="318" t="inlineStr">
        <is>
          <t>異音、振動</t>
        </is>
      </c>
      <c r="D433" s="319" t="n"/>
      <c r="E433" s="321" t="n"/>
      <c r="F433" s="321" t="n"/>
      <c r="G433" s="321" t="n"/>
      <c r="H433" s="321" t="n"/>
      <c r="I433" s="395" t="n"/>
      <c r="J433" s="9" t="n"/>
      <c r="K433" s="9" t="n"/>
      <c r="L433" s="9" t="n"/>
      <c r="M433" s="9" t="n"/>
      <c r="N433" s="9" t="n"/>
      <c r="O433" s="9" t="n"/>
    </row>
    <row r="434">
      <c r="A434" s="679" t="n"/>
      <c r="B434" s="728" t="inlineStr">
        <is>
          <t>№2</t>
        </is>
      </c>
      <c r="C434" s="314">
        <f>C432</f>
        <v/>
      </c>
      <c r="D434" s="315" t="inlineStr">
        <is>
          <t>Mpa</t>
        </is>
      </c>
      <c r="E434" s="317" t="n"/>
      <c r="F434" s="317" t="n"/>
      <c r="G434" s="317" t="n"/>
      <c r="H434" s="317" t="n"/>
      <c r="I434" s="394" t="n"/>
      <c r="J434" s="9" t="n"/>
      <c r="K434" s="9" t="n"/>
      <c r="L434" s="9" t="n"/>
      <c r="M434" s="9" t="n"/>
      <c r="N434" s="9" t="n"/>
      <c r="O434" s="9" t="n"/>
    </row>
    <row r="435">
      <c r="A435" s="679" t="n"/>
      <c r="B435" s="626" t="n"/>
      <c r="C435" s="318" t="inlineStr">
        <is>
          <t>異音、振動</t>
        </is>
      </c>
      <c r="D435" s="319" t="n"/>
      <c r="E435" s="321" t="n"/>
      <c r="F435" s="321" t="n"/>
      <c r="G435" s="321" t="n"/>
      <c r="H435" s="321" t="n"/>
      <c r="I435" s="395" t="n"/>
      <c r="J435" s="9" t="n"/>
      <c r="K435" s="9" t="n"/>
      <c r="L435" s="9" t="n"/>
      <c r="M435" s="9" t="n"/>
      <c r="N435" s="9" t="n"/>
      <c r="O435" s="9" t="n"/>
    </row>
    <row r="436">
      <c r="A436" s="679" t="n"/>
      <c r="B436" s="728" t="inlineStr">
        <is>
          <t>―</t>
        </is>
      </c>
      <c r="C436" s="310" t="inlineStr">
        <is>
          <t>モード確認</t>
        </is>
      </c>
      <c r="D436" s="734" t="n"/>
      <c r="E436" s="333" t="n"/>
      <c r="F436" s="333" t="n"/>
      <c r="G436" s="333" t="n"/>
      <c r="H436" s="333" t="n"/>
      <c r="I436" s="400" t="n"/>
      <c r="J436" s="9" t="n"/>
      <c r="K436" s="9" t="n"/>
      <c r="L436" s="9" t="n"/>
      <c r="M436" s="9" t="n"/>
      <c r="N436" s="9" t="n"/>
      <c r="O436" s="9" t="n"/>
    </row>
    <row r="437" ht="18" customHeight="1">
      <c r="A437" s="626" t="n"/>
      <c r="B437" s="626" t="n"/>
      <c r="C437" s="742" t="inlineStr">
        <is>
          <t>機種選択</t>
        </is>
      </c>
      <c r="D437" s="731" t="n"/>
      <c r="E437" s="325" t="n"/>
      <c r="F437" s="325" t="n"/>
      <c r="G437" s="325" t="n"/>
      <c r="H437" s="325" t="n"/>
      <c r="I437" s="397" t="n"/>
      <c r="J437" s="9" t="n"/>
      <c r="K437" s="9" t="n"/>
      <c r="L437" s="9" t="n"/>
      <c r="M437" s="9" t="n"/>
      <c r="N437" s="9" t="n"/>
      <c r="O437" s="9" t="n"/>
    </row>
    <row r="438">
      <c r="A438" s="741" t="inlineStr">
        <is>
          <t>濃縮汚泥引抜         ポンプ</t>
        </is>
      </c>
      <c r="B438" s="726" t="n">
        <v>1</v>
      </c>
      <c r="C438" s="310" t="inlineStr">
        <is>
          <t>電流値</t>
        </is>
      </c>
      <c r="D438" s="734" t="inlineStr">
        <is>
          <t>Ａ</t>
        </is>
      </c>
      <c r="E438" s="933" t="n"/>
      <c r="F438" s="933" t="n"/>
      <c r="G438" s="933" t="n"/>
      <c r="H438" s="933" t="n"/>
      <c r="I438" s="939" t="n"/>
      <c r="J438" s="9" t="n"/>
      <c r="K438" s="9" t="n"/>
      <c r="L438" s="938" t="n"/>
      <c r="M438" s="9" t="n"/>
      <c r="N438" s="938" t="n"/>
      <c r="O438" s="9" t="n"/>
    </row>
    <row r="439">
      <c r="A439" s="679" t="n"/>
      <c r="B439" s="679" t="n"/>
      <c r="C439" s="314" t="inlineStr">
        <is>
          <t>吐出圧力</t>
        </is>
      </c>
      <c r="D439" s="315" t="inlineStr">
        <is>
          <t>Mpa</t>
        </is>
      </c>
      <c r="E439" s="323" t="n"/>
      <c r="F439" s="323" t="n"/>
      <c r="G439" s="323" t="n"/>
      <c r="H439" s="323" t="n"/>
      <c r="I439" s="396" t="n"/>
      <c r="J439" s="9" t="n"/>
      <c r="K439" s="9" t="n"/>
      <c r="L439" s="345" t="n"/>
      <c r="M439" s="9" t="n"/>
      <c r="N439" s="345" t="n"/>
      <c r="O439" s="9" t="n"/>
    </row>
    <row r="440">
      <c r="A440" s="679" t="n"/>
      <c r="B440" s="626" t="n"/>
      <c r="C440" s="318" t="inlineStr">
        <is>
          <t>異音、振動</t>
        </is>
      </c>
      <c r="D440" s="319" t="n"/>
      <c r="E440" s="325" t="n"/>
      <c r="F440" s="325" t="n"/>
      <c r="G440" s="325" t="n"/>
      <c r="H440" s="325" t="n"/>
      <c r="I440" s="397" t="n"/>
      <c r="J440" s="9" t="n"/>
      <c r="K440" s="9" t="n"/>
      <c r="L440" s="345" t="n"/>
      <c r="M440" s="9" t="n"/>
      <c r="N440" s="345" t="n"/>
      <c r="O440" s="9" t="n"/>
    </row>
    <row r="441">
      <c r="A441" s="679" t="n"/>
      <c r="B441" s="726" t="n">
        <v>2</v>
      </c>
      <c r="C441" s="310" t="inlineStr">
        <is>
          <t>電流値</t>
        </is>
      </c>
      <c r="D441" s="734" t="inlineStr">
        <is>
          <t>Ａ</t>
        </is>
      </c>
      <c r="E441" s="933" t="n"/>
      <c r="F441" s="933" t="n"/>
      <c r="G441" s="933" t="n"/>
      <c r="H441" s="933" t="n"/>
      <c r="I441" s="939" t="n"/>
      <c r="J441" s="9" t="n"/>
      <c r="K441" s="9" t="n"/>
      <c r="L441" s="938" t="n"/>
      <c r="M441" s="9" t="n"/>
      <c r="N441" s="938" t="n"/>
      <c r="O441" s="9" t="n"/>
    </row>
    <row r="442">
      <c r="A442" s="679" t="n"/>
      <c r="B442" s="679" t="n"/>
      <c r="C442" s="314" t="inlineStr">
        <is>
          <t>吐出圧力</t>
        </is>
      </c>
      <c r="D442" s="315" t="inlineStr">
        <is>
          <t>Mpa</t>
        </is>
      </c>
      <c r="E442" s="323" t="n"/>
      <c r="F442" s="323" t="n"/>
      <c r="G442" s="323" t="n"/>
      <c r="H442" s="323" t="n"/>
      <c r="I442" s="396" t="n"/>
      <c r="J442" s="9" t="n"/>
      <c r="K442" s="9" t="n"/>
      <c r="L442" s="345" t="n"/>
      <c r="M442" s="9" t="n"/>
      <c r="N442" s="345" t="n"/>
      <c r="O442" s="9" t="n"/>
    </row>
    <row r="443">
      <c r="A443" s="679" t="n"/>
      <c r="B443" s="626" t="n"/>
      <c r="C443" s="318">
        <f>C440</f>
        <v/>
      </c>
      <c r="D443" s="319" t="n"/>
      <c r="E443" s="325" t="n"/>
      <c r="F443" s="325" t="n"/>
      <c r="G443" s="325" t="n"/>
      <c r="H443" s="325" t="n"/>
      <c r="I443" s="397" t="n"/>
      <c r="J443" s="9" t="n"/>
      <c r="K443" s="9" t="n"/>
      <c r="L443" s="345" t="n"/>
      <c r="M443" s="9" t="n"/>
      <c r="N443" s="345" t="n"/>
      <c r="O443" s="9" t="n"/>
    </row>
    <row r="444">
      <c r="A444" s="679" t="n"/>
      <c r="B444" s="726" t="inlineStr">
        <is>
          <t>―</t>
        </is>
      </c>
      <c r="C444" s="310" t="inlineStr">
        <is>
          <t>モード確認</t>
        </is>
      </c>
      <c r="D444" s="734" t="n"/>
      <c r="E444" s="333" t="n"/>
      <c r="F444" s="333" t="n"/>
      <c r="G444" s="333" t="n"/>
      <c r="H444" s="333" t="n"/>
      <c r="I444" s="400" t="n"/>
      <c r="J444" s="9" t="n"/>
      <c r="K444" s="9" t="n"/>
      <c r="L444" s="345" t="n"/>
      <c r="M444" s="9" t="n"/>
      <c r="N444" s="345" t="n"/>
      <c r="O444" s="9" t="n"/>
    </row>
    <row r="445" ht="18" customHeight="1">
      <c r="A445" s="626" t="n"/>
      <c r="B445" s="626" t="n"/>
      <c r="C445" s="742" t="inlineStr">
        <is>
          <t>機種選択</t>
        </is>
      </c>
      <c r="D445" s="731" t="n"/>
      <c r="E445" s="325" t="n"/>
      <c r="F445" s="325" t="n"/>
      <c r="G445" s="325" t="n"/>
      <c r="H445" s="325" t="n"/>
      <c r="I445" s="397" t="n"/>
      <c r="J445" s="9" t="n"/>
      <c r="K445" s="9" t="n"/>
      <c r="L445" s="345" t="n"/>
      <c r="M445" s="9" t="n"/>
      <c r="N445" s="345" t="n"/>
      <c r="O445" s="9" t="n"/>
    </row>
    <row r="446">
      <c r="A446" s="741" t="inlineStr">
        <is>
          <t>濃縮汚泥引抜弁</t>
        </is>
      </c>
      <c r="B446" s="740" t="inlineStr">
        <is>
          <t>―</t>
        </is>
      </c>
      <c r="C446" s="330" t="inlineStr">
        <is>
          <t>電流値</t>
        </is>
      </c>
      <c r="D446" s="331" t="inlineStr">
        <is>
          <t>Ａ</t>
        </is>
      </c>
      <c r="E446" s="349" t="n"/>
      <c r="F446" s="349" t="n"/>
      <c r="G446" s="349" t="n"/>
      <c r="H446" s="349" t="n"/>
      <c r="I446" s="403" t="n"/>
      <c r="J446" s="9" t="n"/>
      <c r="K446" s="9" t="n"/>
      <c r="L446" s="9" t="n"/>
      <c r="M446" s="9" t="n"/>
      <c r="N446" s="9" t="n"/>
      <c r="O446" s="387" t="n"/>
    </row>
    <row r="447">
      <c r="A447" s="679" t="n"/>
      <c r="B447" s="679" t="n"/>
      <c r="C447" s="314" t="inlineStr">
        <is>
          <t>異音、振動</t>
        </is>
      </c>
      <c r="D447" s="315" t="n"/>
      <c r="E447" s="317" t="n"/>
      <c r="F447" s="317" t="n"/>
      <c r="G447" s="317" t="n"/>
      <c r="H447" s="317" t="n"/>
      <c r="I447" s="394" t="n"/>
      <c r="J447" s="9" t="n"/>
      <c r="K447" s="9" t="n"/>
      <c r="L447" s="9" t="n"/>
      <c r="M447" s="9" t="n"/>
      <c r="N447" s="9" t="n"/>
      <c r="O447" s="345" t="n"/>
    </row>
    <row r="448">
      <c r="A448" s="679" t="n"/>
      <c r="B448" s="679" t="n"/>
      <c r="C448" s="330" t="inlineStr">
        <is>
          <t>動作状況</t>
        </is>
      </c>
      <c r="D448" s="331" t="n"/>
      <c r="E448" s="329" t="n"/>
      <c r="F448" s="329" t="n"/>
      <c r="G448" s="329" t="n"/>
      <c r="H448" s="329" t="n"/>
      <c r="I448" s="399" t="n"/>
      <c r="J448" s="9" t="n"/>
      <c r="K448" s="9" t="n"/>
      <c r="L448" s="9" t="n"/>
      <c r="M448" s="9" t="n"/>
      <c r="N448" s="9" t="n"/>
      <c r="O448" s="345" t="n"/>
    </row>
    <row r="449" ht="18" customHeight="1">
      <c r="A449" s="626" t="n"/>
      <c r="B449" s="679" t="n"/>
      <c r="C449" s="742" t="inlineStr">
        <is>
          <t>モード確認</t>
        </is>
      </c>
      <c r="D449" s="731" t="n"/>
      <c r="E449" s="325" t="n"/>
      <c r="F449" s="325" t="n"/>
      <c r="G449" s="325" t="n"/>
      <c r="H449" s="325" t="n"/>
      <c r="I449" s="397" t="n"/>
      <c r="J449" s="9" t="n"/>
      <c r="K449" s="9" t="n"/>
      <c r="L449" s="76" t="n"/>
      <c r="M449" s="76" t="n"/>
      <c r="N449" s="9" t="n"/>
      <c r="O449" s="345" t="n"/>
    </row>
    <row r="450">
      <c r="A450" s="727" t="inlineStr">
        <is>
          <t>汚泥ポンプ室　　　　　床排水ポンプ</t>
        </is>
      </c>
      <c r="B450" s="726" t="inlineStr">
        <is>
          <t>―</t>
        </is>
      </c>
      <c r="C450" s="341" t="inlineStr">
        <is>
          <t>電流値</t>
        </is>
      </c>
      <c r="D450" s="342" t="inlineStr">
        <is>
          <t>Ａ</t>
        </is>
      </c>
      <c r="E450" s="935" t="n"/>
      <c r="F450" s="935" t="n"/>
      <c r="G450" s="935" t="n"/>
      <c r="H450" s="935" t="n"/>
      <c r="I450" s="940" t="n"/>
      <c r="J450" s="9" t="n"/>
      <c r="K450" s="9" t="n"/>
      <c r="L450" s="9" t="n"/>
      <c r="M450" s="9" t="n"/>
      <c r="N450" s="9" t="n"/>
      <c r="O450" s="9" t="n"/>
    </row>
    <row r="451">
      <c r="A451" s="679" t="n"/>
      <c r="B451" s="679" t="n"/>
      <c r="C451" s="330" t="inlineStr">
        <is>
          <t>吐出圧力</t>
        </is>
      </c>
      <c r="D451" s="331" t="inlineStr">
        <is>
          <t>Mpa</t>
        </is>
      </c>
      <c r="E451" s="329" t="n"/>
      <c r="F451" s="329" t="n"/>
      <c r="G451" s="329" t="n"/>
      <c r="H451" s="329" t="n"/>
      <c r="I451" s="399" t="n"/>
      <c r="J451" s="9" t="n"/>
      <c r="K451" s="9" t="n"/>
      <c r="L451" s="9" t="n"/>
      <c r="M451" s="9" t="n"/>
      <c r="N451" s="9" t="n"/>
      <c r="O451" s="9" t="n"/>
    </row>
    <row r="452">
      <c r="A452" s="679" t="n"/>
      <c r="B452" s="679" t="n"/>
      <c r="C452" s="314">
        <f>C443</f>
        <v/>
      </c>
      <c r="D452" s="315" t="n"/>
      <c r="E452" s="317" t="n"/>
      <c r="F452" s="317" t="n"/>
      <c r="G452" s="317" t="n"/>
      <c r="H452" s="317" t="n"/>
      <c r="I452" s="394" t="n"/>
      <c r="J452" s="9" t="n"/>
      <c r="K452" s="9" t="n"/>
      <c r="L452" s="9" t="n"/>
      <c r="M452" s="9" t="n"/>
      <c r="N452" s="9" t="n"/>
      <c r="O452" s="9" t="n"/>
    </row>
    <row r="453">
      <c r="A453" s="626" t="n"/>
      <c r="B453" s="626" t="n"/>
      <c r="C453" s="318" t="inlineStr">
        <is>
          <t>モード確認</t>
        </is>
      </c>
      <c r="D453" s="319" t="n"/>
      <c r="E453" s="325" t="n"/>
      <c r="F453" s="325" t="n"/>
      <c r="G453" s="325" t="n"/>
      <c r="H453" s="325" t="n"/>
      <c r="I453" s="397" t="n"/>
      <c r="J453" s="9" t="n"/>
      <c r="K453" s="9" t="n"/>
      <c r="L453" s="9" t="n"/>
      <c r="M453" s="9" t="n"/>
      <c r="N453" s="9" t="n"/>
      <c r="O453" s="9" t="n"/>
    </row>
    <row r="454">
      <c r="A454" s="756" t="inlineStr">
        <is>
          <t>濃縮汚泥掻寄機</t>
        </is>
      </c>
      <c r="B454" s="726" t="n"/>
      <c r="C454" s="341" t="inlineStr">
        <is>
          <t>電流値</t>
        </is>
      </c>
      <c r="D454" s="342" t="inlineStr">
        <is>
          <t>Ａ</t>
        </is>
      </c>
      <c r="E454" s="339" t="n"/>
      <c r="F454" s="339" t="n"/>
      <c r="G454" s="339" t="n"/>
      <c r="H454" s="339" t="n"/>
      <c r="I454" s="401" t="n"/>
      <c r="J454" s="9" t="n"/>
      <c r="K454" s="9" t="n"/>
      <c r="L454" s="9" t="n"/>
      <c r="M454" s="9" t="n"/>
      <c r="N454" s="9" t="n"/>
      <c r="O454" s="9" t="n"/>
    </row>
    <row r="455">
      <c r="A455" s="626" t="n"/>
      <c r="B455" s="626" t="n"/>
      <c r="C455" s="318" t="inlineStr">
        <is>
          <t>異音、振動</t>
        </is>
      </c>
      <c r="D455" s="319" t="n"/>
      <c r="E455" s="329" t="n"/>
      <c r="F455" s="329" t="n"/>
      <c r="G455" s="329" t="n"/>
      <c r="H455" s="329" t="n"/>
      <c r="I455" s="399" t="n"/>
      <c r="J455" s="9" t="n"/>
      <c r="K455" s="9" t="n"/>
      <c r="L455" s="9" t="n"/>
      <c r="M455" s="9" t="n"/>
      <c r="N455" s="9" t="n"/>
      <c r="O455" s="9" t="n"/>
    </row>
    <row r="456">
      <c r="A456" s="729" t="inlineStr">
        <is>
          <t>スカムスキマー</t>
        </is>
      </c>
      <c r="B456" s="726" t="n"/>
      <c r="C456" s="306" t="inlineStr">
        <is>
          <t>動作状況</t>
        </is>
      </c>
      <c r="D456" s="307" t="n"/>
      <c r="E456" s="309" t="n"/>
      <c r="F456" s="309" t="n"/>
      <c r="G456" s="309" t="n"/>
      <c r="H456" s="309" t="n"/>
      <c r="I456" s="392" t="n"/>
      <c r="J456" s="9" t="n"/>
      <c r="K456" s="9" t="n"/>
      <c r="L456" s="9" t="n"/>
      <c r="M456" s="9" t="n"/>
      <c r="N456" s="9" t="n"/>
      <c r="O456" s="9" t="n"/>
    </row>
    <row r="457">
      <c r="A457" s="741" t="inlineStr">
        <is>
          <t>汚泥供給ポンプ</t>
        </is>
      </c>
      <c r="B457" s="726" t="n">
        <v>1</v>
      </c>
      <c r="C457" s="310">
        <f>C451</f>
        <v/>
      </c>
      <c r="D457" s="734">
        <f>D451</f>
        <v/>
      </c>
      <c r="E457" s="333" t="n"/>
      <c r="F457" s="333" t="n"/>
      <c r="G457" s="333" t="n"/>
      <c r="H457" s="333" t="n"/>
      <c r="I457" s="400" t="n"/>
      <c r="J457" s="9" t="n"/>
      <c r="K457" s="9" t="n"/>
      <c r="L457" s="9" t="n"/>
      <c r="M457" s="9" t="n"/>
      <c r="N457" s="9" t="n"/>
      <c r="O457" s="9" t="n"/>
    </row>
    <row r="458">
      <c r="A458" s="679" t="n"/>
      <c r="B458" s="679" t="n"/>
      <c r="C458" s="314" t="inlineStr">
        <is>
          <t>異音、振動</t>
        </is>
      </c>
      <c r="D458" s="315" t="n"/>
      <c r="E458" s="317" t="n"/>
      <c r="F458" s="317" t="n"/>
      <c r="G458" s="317" t="n"/>
      <c r="H458" s="317" t="n"/>
      <c r="I458" s="394" t="n"/>
      <c r="J458" s="9" t="n"/>
      <c r="K458" s="9" t="n"/>
      <c r="L458" s="9" t="n"/>
      <c r="M458" s="9" t="n"/>
      <c r="N458" s="9" t="n"/>
      <c r="O458" s="9" t="n"/>
    </row>
    <row r="459">
      <c r="A459" s="679" t="n"/>
      <c r="B459" s="626" t="n"/>
      <c r="C459" s="318">
        <f>C426</f>
        <v/>
      </c>
      <c r="D459" s="319" t="n"/>
      <c r="E459" s="329" t="n"/>
      <c r="F459" s="329" t="n"/>
      <c r="G459" s="329" t="n"/>
      <c r="H459" s="329" t="n"/>
      <c r="I459" s="399" t="n"/>
      <c r="J459" s="9" t="n"/>
      <c r="K459" s="9" t="n"/>
      <c r="L459" s="9" t="n"/>
      <c r="M459" s="9" t="n"/>
      <c r="N459" s="9" t="n"/>
      <c r="O459" s="9" t="n"/>
    </row>
    <row r="460">
      <c r="A460" s="679" t="n"/>
      <c r="B460" s="726" t="n">
        <v>2</v>
      </c>
      <c r="C460" s="310">
        <f>C457</f>
        <v/>
      </c>
      <c r="D460" s="734">
        <f>D457</f>
        <v/>
      </c>
      <c r="E460" s="333" t="n"/>
      <c r="F460" s="333" t="n"/>
      <c r="G460" s="333" t="n"/>
      <c r="H460" s="333" t="n"/>
      <c r="I460" s="400" t="n"/>
      <c r="J460" s="9" t="n"/>
      <c r="K460" s="9" t="n"/>
      <c r="L460" s="9" t="n"/>
      <c r="M460" s="9" t="n"/>
      <c r="N460" s="9" t="n"/>
      <c r="O460" s="9" t="n"/>
    </row>
    <row r="461">
      <c r="A461" s="679" t="n"/>
      <c r="B461" s="679" t="n"/>
      <c r="C461" s="314">
        <f>C458</f>
        <v/>
      </c>
      <c r="D461" s="315" t="n"/>
      <c r="E461" s="317" t="n"/>
      <c r="F461" s="317" t="n"/>
      <c r="G461" s="317" t="n"/>
      <c r="H461" s="317" t="n"/>
      <c r="I461" s="394" t="n"/>
      <c r="J461" s="9" t="n"/>
      <c r="K461" s="9" t="n"/>
      <c r="L461" s="9" t="n"/>
      <c r="M461" s="9" t="n"/>
      <c r="N461" s="9" t="n"/>
      <c r="O461" s="9" t="n"/>
    </row>
    <row r="462">
      <c r="A462" s="626" t="n"/>
      <c r="B462" s="626" t="n"/>
      <c r="C462" s="318">
        <f>C459</f>
        <v/>
      </c>
      <c r="D462" s="319" t="n"/>
      <c r="E462" s="329" t="n"/>
      <c r="F462" s="329" t="n"/>
      <c r="G462" s="329" t="n"/>
      <c r="H462" s="329" t="n"/>
      <c r="I462" s="399" t="n"/>
      <c r="J462" s="9" t="n"/>
      <c r="K462" s="9" t="n"/>
      <c r="L462" s="9" t="n"/>
      <c r="M462" s="9" t="n"/>
      <c r="N462" s="9" t="n"/>
      <c r="O462" s="9" t="n"/>
    </row>
    <row r="463">
      <c r="A463" s="741" t="inlineStr">
        <is>
          <t>汚泥貯留槽攪拌機</t>
        </is>
      </c>
      <c r="B463" s="726" t="inlineStr">
        <is>
          <t>―</t>
        </is>
      </c>
      <c r="C463" s="310" t="inlineStr">
        <is>
          <t>電流値</t>
        </is>
      </c>
      <c r="D463" s="734" t="inlineStr">
        <is>
          <t>Ａ</t>
        </is>
      </c>
      <c r="E463" s="933" t="n"/>
      <c r="F463" s="933" t="n"/>
      <c r="G463" s="333" t="n"/>
      <c r="H463" s="333" t="n"/>
      <c r="I463" s="939" t="n"/>
      <c r="J463" s="9" t="n"/>
      <c r="K463" s="9" t="n"/>
      <c r="L463" s="9" t="n"/>
      <c r="M463" s="9" t="n"/>
      <c r="N463" s="9" t="n"/>
      <c r="O463" s="9" t="n"/>
    </row>
    <row r="464">
      <c r="A464" s="679" t="n"/>
      <c r="B464" s="679" t="n"/>
      <c r="C464" s="314">
        <f>C461</f>
        <v/>
      </c>
      <c r="D464" s="315" t="n"/>
      <c r="E464" s="317" t="n"/>
      <c r="F464" s="317" t="n"/>
      <c r="G464" s="317" t="n"/>
      <c r="H464" s="317" t="n"/>
      <c r="I464" s="394" t="n"/>
      <c r="J464" s="9" t="n"/>
      <c r="K464" s="9" t="n"/>
      <c r="L464" s="9" t="n"/>
      <c r="M464" s="9" t="n"/>
      <c r="N464" s="9" t="n"/>
      <c r="O464" s="9" t="n"/>
    </row>
    <row r="465">
      <c r="A465" s="626" t="n"/>
      <c r="B465" s="626" t="n"/>
      <c r="C465" s="318" t="inlineStr">
        <is>
          <t>モード確認</t>
        </is>
      </c>
      <c r="D465" s="319" t="n"/>
      <c r="E465" s="329" t="n"/>
      <c r="F465" s="329" t="n"/>
      <c r="G465" s="329" t="n"/>
      <c r="H465" s="329" t="n"/>
      <c r="I465" s="399" t="n"/>
      <c r="J465" s="9" t="n"/>
      <c r="K465" s="9" t="n"/>
      <c r="L465" s="9" t="n"/>
      <c r="M465" s="9" t="n"/>
      <c r="N465" s="9" t="n"/>
      <c r="O465" s="9" t="n"/>
    </row>
    <row r="466">
      <c r="A466" s="741" t="inlineStr">
        <is>
          <t>空気圧縮機</t>
        </is>
      </c>
      <c r="B466" s="726" t="inlineStr">
        <is>
          <t>―</t>
        </is>
      </c>
      <c r="C466" s="310" t="inlineStr">
        <is>
          <t>異音、振動等</t>
        </is>
      </c>
      <c r="D466" s="734" t="n"/>
      <c r="E466" s="327" t="n"/>
      <c r="F466" s="327" t="n"/>
      <c r="G466" s="327" t="n"/>
      <c r="H466" s="327" t="n"/>
      <c r="I466" s="398" t="n"/>
      <c r="J466" s="9" t="n"/>
      <c r="K466" s="9" t="n"/>
      <c r="L466" s="9" t="n"/>
      <c r="M466" s="9" t="n"/>
      <c r="N466" s="9" t="n"/>
      <c r="O466" s="9" t="n"/>
    </row>
    <row r="467">
      <c r="A467" s="626" t="n"/>
      <c r="B467" s="626" t="n"/>
      <c r="C467" s="334" t="inlineStr">
        <is>
          <t>安全弁等の動作確認</t>
        </is>
      </c>
      <c r="D467" s="335" t="n"/>
      <c r="E467" s="325" t="n"/>
      <c r="F467" s="325" t="n"/>
      <c r="G467" s="325" t="n"/>
      <c r="H467" s="325" t="n"/>
      <c r="I467" s="397" t="n"/>
      <c r="J467" s="9" t="n"/>
      <c r="K467" s="9" t="n"/>
      <c r="L467" s="9" t="n"/>
      <c r="M467" s="9" t="n"/>
      <c r="N467" s="9" t="n"/>
      <c r="O467" s="9" t="n"/>
    </row>
    <row r="468" ht="18" customHeight="1">
      <c r="A468" s="747" t="inlineStr">
        <is>
          <t xml:space="preserve">　○：良　　△：要注意　　×：要修理</t>
        </is>
      </c>
      <c r="B468" s="586" t="n"/>
      <c r="C468" s="586" t="n"/>
      <c r="D468" s="586" t="n"/>
      <c r="E468" s="586" t="n"/>
      <c r="F468" s="586" t="n"/>
      <c r="G468" s="586" t="n"/>
      <c r="H468" s="586" t="n"/>
      <c r="I468" s="586" t="n"/>
      <c r="J468" s="9" t="n"/>
      <c r="K468" s="9" t="n"/>
      <c r="L468" s="9" t="n"/>
      <c r="M468" s="9" t="n"/>
      <c r="N468" s="9" t="n"/>
      <c r="O468" s="9" t="n"/>
    </row>
    <row r="469">
      <c r="A469" s="353" t="n"/>
      <c r="B469" s="354" t="n"/>
      <c r="C469" s="353" t="n"/>
      <c r="D469" s="355" t="n"/>
      <c r="E469" s="356" t="n"/>
      <c r="F469" s="356" t="n"/>
      <c r="G469" s="356" t="n"/>
      <c r="H469" s="356" t="n"/>
      <c r="I469" s="356" t="n"/>
      <c r="J469" s="9" t="n"/>
      <c r="K469" s="9" t="n"/>
      <c r="L469" s="9" t="n"/>
      <c r="M469" s="9" t="n"/>
      <c r="N469" s="9" t="n"/>
      <c r="O469" s="9" t="n"/>
    </row>
    <row r="470">
      <c r="A470" s="357" t="n"/>
      <c r="B470" s="355" t="n"/>
      <c r="C470" s="357" t="n"/>
      <c r="D470" s="355" t="n"/>
      <c r="E470" s="356" t="n"/>
      <c r="F470" s="356" t="n"/>
      <c r="G470" s="356" t="n"/>
      <c r="H470" s="356" t="n"/>
      <c r="I470" s="356" t="n"/>
      <c r="J470" s="9" t="n"/>
      <c r="K470" s="9" t="n"/>
      <c r="L470" s="9" t="n"/>
      <c r="M470" s="9" t="n"/>
      <c r="N470" s="9" t="n"/>
      <c r="O470" s="9" t="n"/>
    </row>
    <row r="471" ht="22" customHeight="1">
      <c r="A471" s="299" t="inlineStr">
        <is>
          <t>機械設備日常点検表（３/３）</t>
        </is>
      </c>
      <c r="B471" s="594" t="n"/>
      <c r="C471" s="300" t="n"/>
      <c r="D471" s="594" t="n"/>
      <c r="E471" s="594" t="n"/>
      <c r="F471" s="594" t="n"/>
      <c r="G471" s="594" t="n"/>
      <c r="H471" s="300">
        <f>H355</f>
        <v/>
      </c>
      <c r="I471" s="594" t="n"/>
      <c r="J471" s="9" t="n"/>
      <c r="K471" s="9" t="n"/>
      <c r="L471" s="9" t="n"/>
      <c r="M471" s="9" t="n"/>
      <c r="N471" s="9" t="n"/>
      <c r="O471" s="9" t="n"/>
    </row>
    <row r="472" ht="18" customHeight="1">
      <c r="A472" s="726" t="inlineStr">
        <is>
          <t>機　器　名</t>
        </is>
      </c>
      <c r="B472" s="726" t="inlineStr">
        <is>
          <t>No</t>
        </is>
      </c>
      <c r="C472" s="726" t="inlineStr">
        <is>
          <t>点 検 者</t>
        </is>
      </c>
      <c r="D472" s="580" t="n"/>
      <c r="E472" s="726">
        <f>E356</f>
        <v/>
      </c>
      <c r="F472" s="726">
        <f>F356</f>
        <v/>
      </c>
      <c r="G472" s="726">
        <f>G356</f>
        <v/>
      </c>
      <c r="H472" s="726">
        <f>H356</f>
        <v/>
      </c>
      <c r="I472" s="391">
        <f>I356</f>
        <v/>
      </c>
      <c r="J472" s="9" t="n"/>
      <c r="K472" s="9" t="n"/>
      <c r="L472" s="9" t="n"/>
      <c r="M472" s="9" t="n"/>
      <c r="N472" s="9" t="n"/>
      <c r="O472" s="9" t="n"/>
    </row>
    <row r="473" ht="18" customHeight="1">
      <c r="A473" s="626" t="n"/>
      <c r="B473" s="626" t="n"/>
      <c r="C473" s="726" t="inlineStr">
        <is>
          <t>点検内容</t>
        </is>
      </c>
      <c r="D473" s="580" t="n"/>
      <c r="E473" s="931">
        <f>E357</f>
        <v/>
      </c>
      <c r="F473" s="931">
        <f>F357</f>
        <v/>
      </c>
      <c r="G473" s="931">
        <f>G357</f>
        <v/>
      </c>
      <c r="H473" s="931">
        <f>H357</f>
        <v/>
      </c>
      <c r="I473" s="931">
        <f>I357</f>
        <v/>
      </c>
      <c r="J473" s="9" t="n"/>
      <c r="K473" s="9" t="n"/>
      <c r="L473" s="9" t="n"/>
      <c r="M473" s="9" t="n"/>
      <c r="N473" s="9" t="n"/>
      <c r="O473" s="9" t="n"/>
    </row>
    <row r="474" ht="15" customHeight="1">
      <c r="A474" s="358" t="inlineStr">
        <is>
          <t>井水揚水ポンプ</t>
        </is>
      </c>
      <c r="B474" s="336" t="inlineStr">
        <is>
          <t>―</t>
        </is>
      </c>
      <c r="C474" s="330" t="inlineStr">
        <is>
          <t>異音、振動等</t>
        </is>
      </c>
      <c r="D474" s="331" t="n"/>
      <c r="E474" s="317" t="n"/>
      <c r="F474" s="317" t="n"/>
      <c r="G474" s="317" t="n"/>
      <c r="H474" s="317" t="n"/>
      <c r="I474" s="394" t="n"/>
      <c r="J474" s="9" t="n"/>
      <c r="K474" s="9" t="n"/>
      <c r="L474" s="9" t="n"/>
      <c r="M474" s="9" t="n"/>
      <c r="N474" s="9" t="n"/>
      <c r="O474" s="9" t="n"/>
    </row>
    <row r="475">
      <c r="A475" s="727" t="inlineStr">
        <is>
          <t>自動給水装置</t>
        </is>
      </c>
      <c r="B475" s="726" t="n">
        <v>1</v>
      </c>
      <c r="C475" s="310" t="inlineStr">
        <is>
          <t>電流値</t>
        </is>
      </c>
      <c r="D475" s="734" t="inlineStr">
        <is>
          <t>Ａ</t>
        </is>
      </c>
      <c r="E475" s="933" t="n"/>
      <c r="F475" s="933" t="n"/>
      <c r="G475" s="933" t="n"/>
      <c r="H475" s="933" t="n"/>
      <c r="I475" s="939" t="n"/>
      <c r="J475" s="9" t="n"/>
      <c r="K475" s="9" t="n"/>
      <c r="L475" s="9" t="n"/>
      <c r="M475" s="9" t="n"/>
      <c r="N475" s="9" t="n"/>
      <c r="O475" s="9" t="n"/>
    </row>
    <row r="476">
      <c r="A476" s="679" t="n"/>
      <c r="B476" s="626" t="n"/>
      <c r="C476" s="334" t="inlineStr">
        <is>
          <t>異音、振動等</t>
        </is>
      </c>
      <c r="D476" s="335" t="n"/>
      <c r="E476" s="325" t="n"/>
      <c r="F476" s="325" t="n"/>
      <c r="G476" s="325" t="n"/>
      <c r="H476" s="325" t="n"/>
      <c r="I476" s="397" t="n"/>
      <c r="J476" s="9" t="n"/>
      <c r="K476" s="9" t="n"/>
      <c r="L476" s="9" t="n"/>
      <c r="M476" s="9" t="n"/>
      <c r="N476" s="9" t="n"/>
      <c r="O476" s="9" t="n"/>
    </row>
    <row r="477">
      <c r="A477" s="679" t="n"/>
      <c r="B477" s="726" t="n">
        <v>2</v>
      </c>
      <c r="C477" s="310" t="inlineStr">
        <is>
          <t>電流値</t>
        </is>
      </c>
      <c r="D477" s="734" t="inlineStr">
        <is>
          <t>Ａ</t>
        </is>
      </c>
      <c r="E477" s="933" t="n"/>
      <c r="F477" s="933" t="n"/>
      <c r="G477" s="933" t="n"/>
      <c r="H477" s="933" t="n"/>
      <c r="I477" s="939" t="n"/>
      <c r="J477" s="9" t="n"/>
      <c r="K477" s="9" t="n"/>
      <c r="L477" s="9" t="n"/>
      <c r="M477" s="9" t="n"/>
      <c r="N477" s="9" t="n"/>
      <c r="O477" s="9" t="n"/>
    </row>
    <row r="478">
      <c r="A478" s="679" t="n"/>
      <c r="B478" s="626" t="n"/>
      <c r="C478" s="334" t="inlineStr">
        <is>
          <t>異音、振動等</t>
        </is>
      </c>
      <c r="D478" s="335" t="n"/>
      <c r="E478" s="325" t="n"/>
      <c r="F478" s="325" t="n"/>
      <c r="G478" s="325" t="n"/>
      <c r="H478" s="325" t="n"/>
      <c r="I478" s="397" t="n"/>
      <c r="J478" s="9" t="n"/>
      <c r="K478" s="9" t="n"/>
      <c r="L478" s="9" t="n"/>
      <c r="M478" s="9" t="n"/>
      <c r="N478" s="9" t="n"/>
      <c r="O478" s="9" t="n"/>
    </row>
    <row r="479">
      <c r="A479" s="626" t="n"/>
      <c r="B479" s="336" t="inlineStr">
        <is>
          <t>―</t>
        </is>
      </c>
      <c r="C479" s="310" t="inlineStr">
        <is>
          <t>モード確認</t>
        </is>
      </c>
      <c r="D479" s="734" t="n"/>
      <c r="E479" s="309" t="n"/>
      <c r="F479" s="309" t="n"/>
      <c r="G479" s="309" t="n"/>
      <c r="H479" s="309" t="n"/>
      <c r="I479" s="392" t="n"/>
      <c r="J479" s="9" t="n"/>
      <c r="K479" s="9" t="n"/>
      <c r="L479" s="9" t="n"/>
      <c r="M479" s="9" t="n"/>
      <c r="N479" s="9" t="n"/>
      <c r="O479" s="9" t="n"/>
    </row>
    <row r="480">
      <c r="A480" s="729" t="inlineStr">
        <is>
          <t>井水貯留槽</t>
        </is>
      </c>
      <c r="B480" s="726" t="inlineStr">
        <is>
          <t>―</t>
        </is>
      </c>
      <c r="C480" s="306" t="inlineStr">
        <is>
          <t>水漏れ</t>
        </is>
      </c>
      <c r="D480" s="307" t="n"/>
      <c r="E480" s="329" t="n"/>
      <c r="F480" s="329" t="n"/>
      <c r="G480" s="329" t="n"/>
      <c r="H480" s="329" t="n"/>
      <c r="I480" s="399" t="n"/>
      <c r="J480" s="9" t="n"/>
      <c r="K480" s="9" t="n"/>
      <c r="L480" s="9" t="n"/>
      <c r="M480" s="9" t="n"/>
      <c r="N480" s="9" t="n"/>
      <c r="O480" s="9" t="n"/>
    </row>
    <row r="481" ht="18" customHeight="1">
      <c r="A481" s="729" t="inlineStr">
        <is>
          <t>混和池ＢＧ</t>
        </is>
      </c>
      <c r="B481" s="726" t="inlineStr">
        <is>
          <t>―</t>
        </is>
      </c>
      <c r="C481" s="729" t="inlineStr">
        <is>
          <t>開閉</t>
        </is>
      </c>
      <c r="D481" s="580" t="n"/>
      <c r="E481" s="309" t="n"/>
      <c r="F481" s="309" t="n"/>
      <c r="G481" s="309" t="n"/>
      <c r="H481" s="309" t="n"/>
      <c r="I481" s="392" t="n"/>
      <c r="J481" s="9" t="n"/>
      <c r="K481" s="76" t="n"/>
      <c r="L481" s="76" t="n"/>
      <c r="M481" s="9" t="n"/>
      <c r="N481" s="9" t="n"/>
      <c r="O481" s="9" t="n"/>
    </row>
    <row r="482">
      <c r="A482" s="359" t="inlineStr">
        <is>
          <t>塩素接触装置</t>
        </is>
      </c>
      <c r="B482" s="726" t="inlineStr">
        <is>
          <t>―</t>
        </is>
      </c>
      <c r="C482" s="306" t="inlineStr">
        <is>
          <t>薬剤残量確認</t>
        </is>
      </c>
      <c r="D482" s="307" t="n"/>
      <c r="E482" s="323" t="n"/>
      <c r="F482" s="323" t="n"/>
      <c r="G482" s="323" t="n"/>
      <c r="H482" s="323" t="n"/>
      <c r="I482" s="396" t="n"/>
      <c r="J482" s="9" t="n"/>
      <c r="K482" s="9" t="n"/>
      <c r="L482" s="9" t="n"/>
      <c r="M482" s="9" t="n"/>
      <c r="N482" s="9" t="n"/>
      <c r="O482" s="9" t="n"/>
    </row>
    <row r="483" ht="18" customHeight="1">
      <c r="A483" s="727" t="inlineStr">
        <is>
          <t>臭気ガス吸引装置</t>
        </is>
      </c>
      <c r="B483" s="733" t="inlineStr">
        <is>
          <t>―</t>
        </is>
      </c>
      <c r="C483" s="735" t="inlineStr">
        <is>
          <t>ボルト・ナットの緩み</t>
        </is>
      </c>
      <c r="D483" s="736" t="n"/>
      <c r="E483" s="327" t="n"/>
      <c r="F483" s="327" t="n"/>
      <c r="G483" s="327" t="n"/>
      <c r="H483" s="327" t="n"/>
      <c r="I483" s="398" t="n"/>
      <c r="J483" s="9" t="n"/>
      <c r="K483" s="9" t="n"/>
      <c r="L483" s="9" t="n"/>
      <c r="M483" s="9" t="n"/>
      <c r="N483" s="9" t="n"/>
      <c r="O483" s="9" t="n"/>
    </row>
    <row r="484" ht="18" customHeight="1">
      <c r="A484" s="626" t="n"/>
      <c r="B484" s="626" t="n"/>
      <c r="C484" s="732" t="inlineStr">
        <is>
          <t>モード確認</t>
        </is>
      </c>
      <c r="D484" s="591" t="n"/>
      <c r="E484" s="329" t="n"/>
      <c r="F484" s="329" t="n"/>
      <c r="G484" s="329" t="n"/>
      <c r="H484" s="329" t="n"/>
      <c r="I484" s="399" t="n"/>
      <c r="J484" s="9" t="n"/>
      <c r="K484" s="76" t="n"/>
      <c r="L484" s="76" t="n"/>
      <c r="M484" s="76" t="n"/>
      <c r="N484" s="9" t="n"/>
      <c r="O484" s="9" t="n"/>
    </row>
    <row r="485" ht="18" customHeight="1">
      <c r="A485" s="729" t="inlineStr">
        <is>
          <t>吸着脱装置</t>
        </is>
      </c>
      <c r="B485" s="726" t="inlineStr">
        <is>
          <t>―</t>
        </is>
      </c>
      <c r="C485" s="751" t="inlineStr">
        <is>
          <t>マノメータ等の作動確認</t>
        </is>
      </c>
      <c r="D485" s="746" t="n"/>
      <c r="E485" s="333" t="n"/>
      <c r="F485" s="333" t="n"/>
      <c r="G485" s="333" t="n"/>
      <c r="H485" s="333" t="n"/>
      <c r="I485" s="400" t="n"/>
      <c r="J485" s="9" t="n"/>
      <c r="K485" s="9" t="n"/>
      <c r="L485" s="9" t="n"/>
      <c r="M485" s="9" t="n"/>
      <c r="N485" s="9" t="n"/>
      <c r="O485" s="9" t="n"/>
    </row>
    <row r="486" ht="18" customHeight="1">
      <c r="A486" s="626" t="n"/>
      <c r="B486" s="626" t="n"/>
      <c r="C486" s="730">
        <f>C483</f>
        <v/>
      </c>
      <c r="D486" s="731" t="n"/>
      <c r="E486" s="325" t="n"/>
      <c r="F486" s="325" t="n"/>
      <c r="G486" s="325" t="n"/>
      <c r="H486" s="325" t="n"/>
      <c r="I486" s="397" t="n"/>
      <c r="J486" s="9" t="n"/>
      <c r="K486" s="76" t="n"/>
      <c r="L486" s="76" t="n"/>
      <c r="M486" s="76" t="n"/>
      <c r="N486" s="9" t="n"/>
      <c r="O486" s="9" t="n"/>
    </row>
    <row r="487">
      <c r="A487" s="741" t="inlineStr">
        <is>
          <t>電気室給気ファン</t>
        </is>
      </c>
      <c r="B487" s="726" t="inlineStr">
        <is>
          <t>―</t>
        </is>
      </c>
      <c r="C487" s="360" t="inlineStr">
        <is>
          <t>電流値</t>
        </is>
      </c>
      <c r="D487" s="734" t="inlineStr">
        <is>
          <t>Ａ</t>
        </is>
      </c>
      <c r="E487" s="933" t="n"/>
      <c r="F487" s="933" t="n"/>
      <c r="G487" s="933" t="n"/>
      <c r="H487" s="933" t="n"/>
      <c r="I487" s="939" t="n"/>
      <c r="J487" s="9" t="n"/>
      <c r="K487" s="9" t="n"/>
      <c r="L487" s="9" t="n"/>
      <c r="M487" s="9" t="n"/>
      <c r="N487" s="9" t="n"/>
      <c r="O487" s="9" t="n"/>
    </row>
    <row r="488" ht="18" customHeight="1">
      <c r="A488" s="679" t="n"/>
      <c r="B488" s="679" t="n"/>
      <c r="C488" s="735" t="inlineStr">
        <is>
          <t>異音、振動等</t>
        </is>
      </c>
      <c r="D488" s="736" t="n"/>
      <c r="E488" s="317" t="n"/>
      <c r="F488" s="317" t="n"/>
      <c r="G488" s="317" t="n"/>
      <c r="H488" s="317" t="n"/>
      <c r="I488" s="394" t="n"/>
      <c r="J488" s="9" t="n"/>
      <c r="K488" s="9" t="n"/>
      <c r="L488" s="9" t="n"/>
      <c r="M488" s="9" t="n"/>
      <c r="N488" s="9" t="n"/>
      <c r="O488" s="9" t="n"/>
    </row>
    <row r="489" ht="18" customHeight="1">
      <c r="A489" s="626" t="n"/>
      <c r="B489" s="626" t="n"/>
      <c r="C489" s="732" t="inlineStr">
        <is>
          <t>モード確認</t>
        </is>
      </c>
      <c r="D489" s="591" t="n"/>
      <c r="E489" s="321" t="n"/>
      <c r="F489" s="321" t="n"/>
      <c r="G489" s="321" t="n"/>
      <c r="H489" s="321" t="n"/>
      <c r="I489" s="395" t="n"/>
      <c r="J489" s="9" t="n"/>
      <c r="K489" s="9" t="n"/>
      <c r="L489" s="9" t="n"/>
      <c r="M489" s="9" t="n"/>
      <c r="N489" s="9" t="n"/>
      <c r="O489" s="9" t="n"/>
    </row>
    <row r="490">
      <c r="A490" s="741" t="inlineStr">
        <is>
          <t>電気室排気ファン</t>
        </is>
      </c>
      <c r="B490" s="726" t="inlineStr">
        <is>
          <t>―</t>
        </is>
      </c>
      <c r="C490" s="360" t="inlineStr">
        <is>
          <t>電流値</t>
        </is>
      </c>
      <c r="D490" s="734" t="inlineStr">
        <is>
          <t>Ａ</t>
        </is>
      </c>
      <c r="E490" s="933" t="n"/>
      <c r="F490" s="933" t="n"/>
      <c r="G490" s="933" t="n"/>
      <c r="H490" s="933" t="n"/>
      <c r="I490" s="939" t="n"/>
      <c r="J490" s="9" t="n"/>
      <c r="K490" s="9" t="n"/>
      <c r="L490" s="9" t="n"/>
      <c r="M490" s="9" t="n"/>
      <c r="N490" s="9" t="n"/>
      <c r="O490" s="9" t="n"/>
    </row>
    <row r="491" ht="18" customHeight="1">
      <c r="A491" s="679" t="n"/>
      <c r="B491" s="679" t="n"/>
      <c r="C491" s="735" t="inlineStr">
        <is>
          <t>異音、振動等</t>
        </is>
      </c>
      <c r="D491" s="736" t="n"/>
      <c r="E491" s="317" t="n"/>
      <c r="F491" s="317" t="n"/>
      <c r="G491" s="317" t="n"/>
      <c r="H491" s="317" t="n"/>
      <c r="I491" s="394" t="n"/>
      <c r="J491" s="9" t="n"/>
      <c r="K491" s="9" t="n"/>
      <c r="L491" s="9" t="n"/>
      <c r="M491" s="9" t="n"/>
      <c r="N491" s="9" t="n"/>
      <c r="O491" s="9" t="n"/>
    </row>
    <row r="492" ht="18" customHeight="1">
      <c r="A492" s="626" t="n"/>
      <c r="B492" s="626" t="n"/>
      <c r="C492" s="732" t="inlineStr">
        <is>
          <t>モード確認</t>
        </is>
      </c>
      <c r="D492" s="591" t="n"/>
      <c r="E492" s="321" t="n"/>
      <c r="F492" s="321" t="n"/>
      <c r="G492" s="321" t="n"/>
      <c r="H492" s="321" t="n"/>
      <c r="I492" s="395" t="n"/>
      <c r="J492" s="9" t="n"/>
      <c r="K492" s="9" t="n"/>
      <c r="L492" s="9" t="n"/>
      <c r="M492" s="9" t="n"/>
      <c r="N492" s="9" t="n"/>
      <c r="O492" s="9" t="n"/>
    </row>
    <row r="493">
      <c r="A493" s="729" t="inlineStr">
        <is>
          <t>自家発室給気ファン</t>
        </is>
      </c>
      <c r="B493" s="726" t="inlineStr">
        <is>
          <t>―</t>
        </is>
      </c>
      <c r="C493" s="341" t="inlineStr">
        <is>
          <t>異音、振動</t>
        </is>
      </c>
      <c r="D493" s="342" t="n"/>
      <c r="E493" s="317" t="n"/>
      <c r="F493" s="317" t="n"/>
      <c r="G493" s="317" t="n"/>
      <c r="H493" s="317" t="n"/>
      <c r="I493" s="394" t="n"/>
      <c r="J493" s="9" t="n"/>
      <c r="K493" s="9" t="n"/>
      <c r="L493" s="9" t="n"/>
      <c r="M493" s="9" t="n"/>
      <c r="N493" s="9" t="n"/>
      <c r="O493" s="9" t="n"/>
    </row>
    <row r="494">
      <c r="A494" s="626" t="n"/>
      <c r="B494" s="626" t="n"/>
      <c r="C494" s="334" t="inlineStr">
        <is>
          <t>モード確認</t>
        </is>
      </c>
      <c r="D494" s="335" t="n"/>
      <c r="E494" s="323" t="n"/>
      <c r="F494" s="323" t="n"/>
      <c r="G494" s="323" t="n"/>
      <c r="H494" s="323" t="n"/>
      <c r="I494" s="396" t="n"/>
      <c r="J494" s="9" t="n"/>
      <c r="K494" s="76" t="n"/>
      <c r="L494" s="76" t="n"/>
      <c r="M494" s="9" t="n"/>
      <c r="N494" s="9" t="n"/>
      <c r="O494" s="9" t="n"/>
    </row>
    <row r="495">
      <c r="A495" s="727" t="inlineStr">
        <is>
          <t>汚泥ポンプ室排気  ファン</t>
        </is>
      </c>
      <c r="B495" s="726" t="inlineStr">
        <is>
          <t>―</t>
        </is>
      </c>
      <c r="C495" s="361" t="inlineStr">
        <is>
          <t>電流値</t>
        </is>
      </c>
      <c r="D495" s="331" t="inlineStr">
        <is>
          <t>Ａ</t>
        </is>
      </c>
      <c r="E495" s="933" t="n"/>
      <c r="F495" s="933" t="n"/>
      <c r="G495" s="933" t="n"/>
      <c r="H495" s="933" t="n"/>
      <c r="I495" s="939" t="n"/>
      <c r="J495" s="9" t="n"/>
      <c r="K495" s="76" t="n"/>
      <c r="L495" s="76" t="n"/>
      <c r="M495" s="9" t="n"/>
      <c r="N495" s="9" t="n"/>
      <c r="O495" s="9" t="n"/>
    </row>
    <row r="496" ht="13.5" customHeight="1">
      <c r="A496" s="679" t="n"/>
      <c r="B496" s="679" t="n"/>
      <c r="C496" s="314" t="inlineStr">
        <is>
          <t>異音、振動</t>
        </is>
      </c>
      <c r="D496" s="315" t="n"/>
      <c r="E496" s="317" t="n"/>
      <c r="F496" s="317" t="n"/>
      <c r="G496" s="317" t="n"/>
      <c r="H496" s="317" t="n"/>
      <c r="I496" s="394" t="n"/>
      <c r="J496" s="9" t="n"/>
      <c r="K496" s="9" t="n"/>
      <c r="L496" s="9" t="n"/>
      <c r="M496" s="9" t="n"/>
      <c r="N496" s="9" t="n"/>
      <c r="O496" s="9" t="n"/>
    </row>
    <row r="497">
      <c r="A497" s="626" t="n"/>
      <c r="B497" s="626" t="n"/>
      <c r="C497" s="362" t="inlineStr">
        <is>
          <t>モード確認</t>
        </is>
      </c>
      <c r="D497" s="363" t="n"/>
      <c r="E497" s="323" t="n"/>
      <c r="F497" s="323" t="n"/>
      <c r="G497" s="323" t="n"/>
      <c r="H497" s="323" t="n"/>
      <c r="I497" s="396" t="n"/>
      <c r="J497" s="9" t="n"/>
      <c r="K497" s="9" t="n"/>
      <c r="L497" s="9" t="n"/>
      <c r="M497" s="9" t="n"/>
      <c r="N497" s="9" t="n"/>
      <c r="O497" s="9" t="n"/>
    </row>
    <row r="498">
      <c r="A498" s="727" t="inlineStr">
        <is>
          <t>汚泥ポンプ室吸気ファン</t>
        </is>
      </c>
      <c r="B498" s="733" t="inlineStr">
        <is>
          <t>―</t>
        </is>
      </c>
      <c r="C498" s="364" t="inlineStr">
        <is>
          <t>電流値</t>
        </is>
      </c>
      <c r="D498" s="342" t="inlineStr">
        <is>
          <t>Ａ</t>
        </is>
      </c>
      <c r="E498" s="935" t="n"/>
      <c r="F498" s="935" t="n"/>
      <c r="G498" s="935" t="n"/>
      <c r="H498" s="935" t="n"/>
      <c r="I498" s="940" t="n"/>
      <c r="J498" s="9" t="n"/>
      <c r="K498" s="9" t="n"/>
      <c r="L498" s="9" t="n"/>
      <c r="M498" s="9" t="n"/>
      <c r="N498" s="9" t="n"/>
      <c r="O498" s="9" t="n"/>
    </row>
    <row r="499" ht="13.5" customHeight="1">
      <c r="A499" s="679" t="n"/>
      <c r="B499" s="679" t="n"/>
      <c r="C499" s="365" t="inlineStr">
        <is>
          <t>異音、振動</t>
        </is>
      </c>
      <c r="D499" s="366" t="n"/>
      <c r="E499" s="368" t="n"/>
      <c r="F499" s="368" t="n"/>
      <c r="G499" s="368" t="n"/>
      <c r="H499" s="368" t="n"/>
      <c r="I499" s="404" t="n"/>
      <c r="J499" s="9" t="n"/>
      <c r="K499" s="9" t="n"/>
      <c r="L499" s="9" t="n"/>
      <c r="M499" s="9" t="n"/>
      <c r="N499" s="9" t="n"/>
      <c r="O499" s="9" t="n"/>
    </row>
    <row r="500">
      <c r="A500" s="626" t="n"/>
      <c r="B500" s="626" t="n"/>
      <c r="C500" s="362" t="inlineStr">
        <is>
          <t>モード確認</t>
        </is>
      </c>
      <c r="D500" s="363" t="n"/>
      <c r="E500" s="323" t="n"/>
      <c r="F500" s="323" t="n"/>
      <c r="G500" s="323" t="n"/>
      <c r="H500" s="323" t="n"/>
      <c r="I500" s="396" t="n"/>
      <c r="J500" s="9" t="n"/>
      <c r="K500" s="9" t="n"/>
      <c r="L500" s="9" t="n"/>
      <c r="M500" s="9" t="n"/>
      <c r="N500" s="9" t="n"/>
      <c r="O500" s="9" t="n"/>
    </row>
    <row r="501">
      <c r="A501" s="727" t="inlineStr">
        <is>
          <t>脱水作業室排気ファン</t>
        </is>
      </c>
      <c r="B501" s="726" t="inlineStr">
        <is>
          <t>―</t>
        </is>
      </c>
      <c r="C501" s="364" t="inlineStr">
        <is>
          <t>電流値</t>
        </is>
      </c>
      <c r="D501" s="342" t="inlineStr">
        <is>
          <t>Ａ</t>
        </is>
      </c>
      <c r="E501" s="935" t="n"/>
      <c r="F501" s="935" t="n"/>
      <c r="G501" s="935" t="n"/>
      <c r="H501" s="935" t="n"/>
      <c r="I501" s="940" t="n"/>
      <c r="J501" s="9" t="n"/>
      <c r="K501" s="9" t="n"/>
      <c r="L501" s="9" t="n"/>
      <c r="M501" s="9" t="n"/>
      <c r="N501" s="9" t="n"/>
      <c r="O501" s="9" t="n"/>
    </row>
    <row r="502" ht="13.5" customHeight="1">
      <c r="A502" s="679" t="n"/>
      <c r="B502" s="679" t="n"/>
      <c r="C502" s="365" t="inlineStr">
        <is>
          <t>異音、振動</t>
        </is>
      </c>
      <c r="D502" s="366" t="n"/>
      <c r="E502" s="368" t="n"/>
      <c r="F502" s="368" t="n"/>
      <c r="G502" s="368" t="n"/>
      <c r="H502" s="368" t="n"/>
      <c r="I502" s="404" t="n"/>
      <c r="J502" s="9" t="n"/>
      <c r="K502" s="9" t="n"/>
      <c r="L502" s="9" t="n"/>
      <c r="M502" s="9" t="n"/>
      <c r="N502" s="9" t="n"/>
      <c r="O502" s="9" t="n"/>
    </row>
    <row r="503">
      <c r="A503" s="626" t="n"/>
      <c r="B503" s="626" t="n"/>
      <c r="C503" s="334" t="inlineStr">
        <is>
          <t>モード確認</t>
        </is>
      </c>
      <c r="D503" s="335" t="n"/>
      <c r="E503" s="323" t="n"/>
      <c r="F503" s="323" t="n"/>
      <c r="G503" s="323" t="n"/>
      <c r="H503" s="323" t="n"/>
      <c r="I503" s="396" t="n"/>
      <c r="J503" s="9" t="n"/>
      <c r="K503" s="9" t="n"/>
      <c r="L503" s="9" t="n"/>
      <c r="M503" s="9" t="n"/>
      <c r="N503" s="9" t="n"/>
      <c r="O503" s="9" t="n"/>
    </row>
    <row r="504" ht="13.5" customHeight="1">
      <c r="A504" s="727" t="inlineStr">
        <is>
          <t>脱水作業室吸気ファン</t>
        </is>
      </c>
      <c r="B504" s="726" t="inlineStr">
        <is>
          <t>―</t>
        </is>
      </c>
      <c r="C504" s="364" t="inlineStr">
        <is>
          <t>電流値</t>
        </is>
      </c>
      <c r="D504" s="342" t="inlineStr">
        <is>
          <t>Ａ</t>
        </is>
      </c>
      <c r="E504" s="935" t="n"/>
      <c r="F504" s="935" t="n"/>
      <c r="G504" s="935" t="n"/>
      <c r="H504" s="935" t="n"/>
      <c r="I504" s="940" t="n"/>
      <c r="J504" s="9" t="n"/>
      <c r="K504" s="9" t="n"/>
      <c r="L504" s="9" t="n"/>
      <c r="M504" s="9" t="n"/>
      <c r="N504" s="9" t="n"/>
      <c r="O504" s="9" t="n"/>
    </row>
    <row r="505" ht="13.5" customHeight="1">
      <c r="A505" s="679" t="n"/>
      <c r="B505" s="679" t="n"/>
      <c r="C505" s="365" t="inlineStr">
        <is>
          <t>異音、振動</t>
        </is>
      </c>
      <c r="D505" s="366" t="n"/>
      <c r="E505" s="368" t="n"/>
      <c r="F505" s="368" t="n"/>
      <c r="G505" s="368" t="n"/>
      <c r="H505" s="368" t="n"/>
      <c r="I505" s="404" t="n"/>
      <c r="J505" s="9" t="n"/>
      <c r="K505" s="9" t="n"/>
      <c r="L505" s="9" t="n"/>
      <c r="M505" s="9" t="n"/>
      <c r="N505" s="9" t="n"/>
      <c r="O505" s="9" t="n"/>
    </row>
    <row r="506">
      <c r="A506" s="626" t="n"/>
      <c r="B506" s="626" t="n"/>
      <c r="C506" s="334" t="inlineStr">
        <is>
          <t>モード確認</t>
        </is>
      </c>
      <c r="D506" s="335" t="n"/>
      <c r="E506" s="323" t="n"/>
      <c r="F506" s="323" t="n"/>
      <c r="G506" s="323" t="n"/>
      <c r="H506" s="323" t="n"/>
      <c r="I506" s="396" t="n"/>
      <c r="J506" s="9" t="n"/>
      <c r="K506" s="9" t="n"/>
      <c r="L506" s="9" t="n"/>
      <c r="M506" s="9" t="n"/>
      <c r="N506" s="9" t="n"/>
      <c r="O506" s="9" t="n"/>
    </row>
    <row r="507">
      <c r="A507" s="727" t="inlineStr">
        <is>
          <t>脱臭機械室排気ファン</t>
        </is>
      </c>
      <c r="B507" s="726" t="inlineStr">
        <is>
          <t>―</t>
        </is>
      </c>
      <c r="C507" s="364" t="inlineStr">
        <is>
          <t>電流値</t>
        </is>
      </c>
      <c r="D507" s="342" t="inlineStr">
        <is>
          <t>Ａ</t>
        </is>
      </c>
      <c r="E507" s="935" t="n"/>
      <c r="F507" s="935" t="n"/>
      <c r="G507" s="935" t="n"/>
      <c r="H507" s="935" t="n"/>
      <c r="I507" s="940" t="n"/>
      <c r="J507" s="9" t="n"/>
      <c r="K507" s="9" t="n"/>
      <c r="L507" s="9" t="n"/>
      <c r="M507" s="9" t="n"/>
      <c r="N507" s="9" t="n"/>
      <c r="O507" s="9" t="n"/>
    </row>
    <row r="508" ht="13.5" customHeight="1">
      <c r="A508" s="679" t="n"/>
      <c r="B508" s="679" t="n"/>
      <c r="C508" s="365" t="inlineStr">
        <is>
          <t>異音、振動</t>
        </is>
      </c>
      <c r="D508" s="366" t="n"/>
      <c r="E508" s="368" t="n"/>
      <c r="F508" s="368" t="n"/>
      <c r="G508" s="368" t="n"/>
      <c r="H508" s="368" t="n"/>
      <c r="I508" s="404" t="n"/>
      <c r="J508" s="9" t="n"/>
      <c r="K508" s="9" t="n"/>
      <c r="L508" s="9" t="n"/>
      <c r="M508" s="9" t="n"/>
      <c r="N508" s="9" t="n"/>
      <c r="O508" s="9" t="n"/>
    </row>
    <row r="509">
      <c r="A509" s="626" t="n"/>
      <c r="B509" s="626" t="n"/>
      <c r="C509" s="334" t="inlineStr">
        <is>
          <t>モード確認</t>
        </is>
      </c>
      <c r="D509" s="335" t="n"/>
      <c r="E509" s="323" t="n"/>
      <c r="F509" s="323" t="n"/>
      <c r="G509" s="323" t="n"/>
      <c r="H509" s="323" t="n"/>
      <c r="I509" s="396" t="n"/>
      <c r="J509" s="9" t="n"/>
      <c r="K509" s="9" t="n"/>
      <c r="L509" s="9" t="n"/>
      <c r="M509" s="9" t="n"/>
      <c r="N509" s="9" t="n"/>
      <c r="O509" s="9" t="n"/>
    </row>
    <row r="510">
      <c r="A510" s="727" t="inlineStr">
        <is>
          <t>脱臭機械室吸気ファン</t>
        </is>
      </c>
      <c r="B510" s="726" t="inlineStr">
        <is>
          <t>―</t>
        </is>
      </c>
      <c r="C510" s="364" t="inlineStr">
        <is>
          <t>電流値</t>
        </is>
      </c>
      <c r="D510" s="342" t="inlineStr">
        <is>
          <t>Ａ</t>
        </is>
      </c>
      <c r="E510" s="935" t="n"/>
      <c r="F510" s="935" t="n"/>
      <c r="G510" s="935" t="n"/>
      <c r="H510" s="935" t="n"/>
      <c r="I510" s="940" t="n"/>
      <c r="J510" s="9" t="n"/>
      <c r="K510" s="9" t="n"/>
      <c r="L510" s="9" t="n"/>
      <c r="M510" s="9" t="n"/>
      <c r="N510" s="9" t="n"/>
      <c r="O510" s="9" t="n"/>
    </row>
    <row r="511" ht="13.5" customHeight="1">
      <c r="A511" s="679" t="n"/>
      <c r="B511" s="679" t="n"/>
      <c r="C511" s="365" t="inlineStr">
        <is>
          <t>異音、振動</t>
        </is>
      </c>
      <c r="D511" s="366" t="n"/>
      <c r="E511" s="368" t="n"/>
      <c r="F511" s="368" t="n"/>
      <c r="G511" s="368" t="n"/>
      <c r="H511" s="368" t="n"/>
      <c r="I511" s="404" t="n"/>
      <c r="J511" s="9" t="n"/>
      <c r="K511" s="9" t="n"/>
      <c r="L511" s="9" t="n"/>
      <c r="M511" s="9" t="n"/>
      <c r="N511" s="9" t="n"/>
      <c r="O511" s="9" t="n"/>
    </row>
    <row r="512">
      <c r="A512" s="626" t="n"/>
      <c r="B512" s="626" t="n"/>
      <c r="C512" s="334" t="inlineStr">
        <is>
          <t>モード確認</t>
        </is>
      </c>
      <c r="D512" s="335" t="n"/>
      <c r="E512" s="325" t="n"/>
      <c r="F512" s="325" t="n"/>
      <c r="G512" s="325" t="n"/>
      <c r="H512" s="325" t="n"/>
      <c r="I512" s="397" t="n"/>
      <c r="J512" s="9" t="n"/>
      <c r="K512" s="9" t="n"/>
      <c r="L512" s="9" t="n"/>
      <c r="M512" s="9" t="n"/>
      <c r="N512" s="9" t="n"/>
      <c r="O512" s="9" t="n"/>
    </row>
    <row r="513">
      <c r="A513" s="748" t="inlineStr">
        <is>
          <t>終沈ポンプ室排気ファン</t>
        </is>
      </c>
      <c r="B513" s="726" t="inlineStr">
        <is>
          <t>―</t>
        </is>
      </c>
      <c r="C513" s="364" t="inlineStr">
        <is>
          <t>電流値</t>
        </is>
      </c>
      <c r="D513" s="342" t="inlineStr">
        <is>
          <t>Ａ</t>
        </is>
      </c>
      <c r="E513" s="935" t="n"/>
      <c r="F513" s="935" t="n"/>
      <c r="G513" s="935" t="n"/>
      <c r="H513" s="935" t="n"/>
      <c r="I513" s="940" t="n"/>
      <c r="J513" s="9" t="n"/>
      <c r="K513" s="9" t="n"/>
      <c r="L513" s="9" t="n"/>
      <c r="M513" s="9" t="n"/>
      <c r="N513" s="9" t="n"/>
      <c r="O513" s="9" t="n"/>
    </row>
    <row r="514" ht="13.5" customHeight="1">
      <c r="A514" s="679" t="n"/>
      <c r="B514" s="679" t="n"/>
      <c r="C514" s="330" t="inlineStr">
        <is>
          <t>異音、振動</t>
        </is>
      </c>
      <c r="D514" s="331" t="n"/>
      <c r="E514" s="329" t="n"/>
      <c r="F514" s="329" t="n"/>
      <c r="G514" s="329" t="n"/>
      <c r="H514" s="329" t="n"/>
      <c r="I514" s="399" t="n"/>
      <c r="J514" s="9" t="n"/>
      <c r="K514" s="9" t="n"/>
      <c r="L514" s="9" t="n"/>
      <c r="M514" s="9" t="n"/>
      <c r="N514" s="9" t="n"/>
      <c r="O514" s="9" t="n"/>
    </row>
    <row r="515">
      <c r="A515" s="626" t="n"/>
      <c r="B515" s="626" t="n"/>
      <c r="C515" s="334" t="inlineStr">
        <is>
          <t>モード確認</t>
        </is>
      </c>
      <c r="D515" s="335" t="n"/>
      <c r="E515" s="325" t="n"/>
      <c r="F515" s="325" t="n"/>
      <c r="G515" s="325" t="n"/>
      <c r="H515" s="325" t="n"/>
      <c r="I515" s="397" t="n"/>
      <c r="J515" s="9" t="n"/>
      <c r="K515" s="9" t="n"/>
      <c r="L515" s="9" t="n"/>
      <c r="M515" s="9" t="n"/>
      <c r="N515" s="9" t="n"/>
      <c r="O515" s="9" t="n"/>
    </row>
    <row r="516">
      <c r="A516" s="727" t="inlineStr">
        <is>
          <t>終沈ポンプ室吸気ファン</t>
        </is>
      </c>
      <c r="B516" s="726" t="inlineStr">
        <is>
          <t>―</t>
        </is>
      </c>
      <c r="C516" s="364" t="inlineStr">
        <is>
          <t>電流値</t>
        </is>
      </c>
      <c r="D516" s="342" t="inlineStr">
        <is>
          <t>Ａ</t>
        </is>
      </c>
      <c r="E516" s="935" t="n"/>
      <c r="F516" s="935" t="n"/>
      <c r="G516" s="935" t="n"/>
      <c r="H516" s="935" t="n"/>
      <c r="I516" s="940" t="n"/>
      <c r="J516" s="9" t="n"/>
      <c r="K516" s="9" t="n"/>
      <c r="L516" s="9" t="n"/>
      <c r="M516" s="9" t="n"/>
      <c r="N516" s="9" t="n"/>
      <c r="O516" s="9" t="n"/>
    </row>
    <row r="517" ht="13.5" customHeight="1">
      <c r="A517" s="679" t="n"/>
      <c r="B517" s="679" t="n"/>
      <c r="C517" s="330" t="inlineStr">
        <is>
          <t>異音、振動</t>
        </is>
      </c>
      <c r="D517" s="331" t="n"/>
      <c r="E517" s="329" t="n"/>
      <c r="F517" s="329" t="n"/>
      <c r="G517" s="329" t="n"/>
      <c r="H517" s="329" t="n"/>
      <c r="I517" s="399" t="n"/>
      <c r="J517" s="9" t="n"/>
      <c r="K517" s="9" t="n"/>
      <c r="L517" s="9" t="n"/>
      <c r="M517" s="9" t="n"/>
      <c r="N517" s="9" t="n"/>
      <c r="O517" s="9" t="n"/>
    </row>
    <row r="518">
      <c r="A518" s="626" t="n"/>
      <c r="B518" s="626" t="n"/>
      <c r="C518" s="334" t="inlineStr">
        <is>
          <t>モード確認</t>
        </is>
      </c>
      <c r="D518" s="335" t="n"/>
      <c r="E518" s="325" t="n"/>
      <c r="F518" s="325" t="n"/>
      <c r="G518" s="325" t="n"/>
      <c r="H518" s="325" t="n"/>
      <c r="I518" s="397" t="n"/>
      <c r="J518" s="9" t="n"/>
      <c r="K518" s="9" t="n"/>
      <c r="L518" s="9" t="n"/>
      <c r="M518" s="9" t="n"/>
      <c r="N518" s="9" t="n"/>
      <c r="O518" s="9" t="n"/>
    </row>
    <row r="519" ht="13.5" customHeight="1">
      <c r="A519" s="727" t="inlineStr">
        <is>
          <t>自動巻取型エア     フィルター</t>
        </is>
      </c>
      <c r="B519" s="750" t="inlineStr">
        <is>
          <t>―</t>
        </is>
      </c>
      <c r="C519" s="753" t="inlineStr">
        <is>
          <t>巻取完了表示点灯確認</t>
        </is>
      </c>
      <c r="D519" s="587" t="n"/>
      <c r="E519" s="333" t="n"/>
      <c r="F519" s="333" t="n"/>
      <c r="G519" s="333" t="n"/>
      <c r="H519" s="333" t="n"/>
      <c r="I519" s="400" t="n"/>
      <c r="J519" s="9" t="n"/>
      <c r="K519" s="9" t="n"/>
      <c r="L519" s="9" t="n"/>
      <c r="M519" s="9" t="n"/>
      <c r="N519" s="9" t="n"/>
      <c r="O519" s="9" t="n"/>
    </row>
    <row r="520">
      <c r="A520" s="679" t="n"/>
      <c r="C520" s="314" t="inlineStr">
        <is>
          <t>差圧</t>
        </is>
      </c>
      <c r="D520" s="315" t="inlineStr">
        <is>
          <t>Pa</t>
        </is>
      </c>
      <c r="E520" s="317" t="n"/>
      <c r="F520" s="317" t="n"/>
      <c r="G520" s="317" t="n"/>
      <c r="H520" s="317" t="n"/>
      <c r="I520" s="394" t="n"/>
      <c r="J520" s="9" t="n"/>
      <c r="K520" s="9" t="n"/>
      <c r="L520" s="9" t="n"/>
      <c r="M520" s="9" t="n"/>
      <c r="N520" s="9" t="n"/>
      <c r="O520" s="9" t="n"/>
    </row>
    <row r="521">
      <c r="A521" s="679" t="n"/>
      <c r="C521" s="314" t="inlineStr">
        <is>
          <t>モード確認</t>
        </is>
      </c>
      <c r="D521" s="315" t="n"/>
      <c r="E521" s="329" t="n"/>
      <c r="F521" s="329" t="n"/>
      <c r="G521" s="329" t="n"/>
      <c r="H521" s="329" t="n"/>
      <c r="I521" s="399" t="n"/>
      <c r="J521" s="9" t="n"/>
      <c r="K521" s="76" t="n"/>
      <c r="L521" s="76" t="n"/>
      <c r="M521" s="76" t="n"/>
      <c r="N521" s="9" t="n"/>
      <c r="O521" s="9" t="n"/>
    </row>
    <row r="522">
      <c r="A522" s="626" t="n"/>
      <c r="B522" s="598" t="n"/>
      <c r="C522" s="318" t="inlineStr">
        <is>
          <t>設定</t>
        </is>
      </c>
      <c r="D522" s="319" t="n"/>
      <c r="E522" s="325" t="n"/>
      <c r="F522" s="325" t="n"/>
      <c r="G522" s="325" t="n"/>
      <c r="H522" s="325" t="n"/>
      <c r="I522" s="397" t="n"/>
      <c r="J522" s="9" t="n"/>
      <c r="K522" s="369" t="n"/>
      <c r="L522" s="76" t="n"/>
      <c r="M522" s="9" t="n"/>
      <c r="N522" s="9" t="n"/>
      <c r="O522" s="9" t="n"/>
    </row>
    <row r="523" ht="18" customHeight="1">
      <c r="A523" s="370" t="inlineStr">
        <is>
          <t>備　　　考</t>
        </is>
      </c>
      <c r="B523" s="734" t="n"/>
      <c r="C523" s="586" t="n"/>
      <c r="D523" s="586" t="n"/>
      <c r="E523" s="586" t="n"/>
      <c r="F523" s="586" t="n"/>
      <c r="G523" s="586" t="n"/>
      <c r="H523" s="586" t="n"/>
      <c r="I523" s="587" t="n"/>
      <c r="J523" s="9" t="n"/>
      <c r="K523" s="9" t="n"/>
      <c r="L523" s="9" t="n"/>
      <c r="M523" s="9" t="n"/>
      <c r="N523" s="9" t="n"/>
      <c r="O523" s="9" t="n"/>
    </row>
    <row r="524">
      <c r="A524" s="752" t="n"/>
      <c r="D524" s="357" t="n"/>
      <c r="E524" s="371" t="n"/>
      <c r="F524" s="372" t="n"/>
      <c r="G524" s="372" t="n"/>
      <c r="H524" s="372" t="n"/>
      <c r="I524" s="373" t="n"/>
      <c r="J524" s="9" t="n"/>
      <c r="K524" s="9" t="n"/>
      <c r="L524" s="9" t="n"/>
      <c r="M524" s="9" t="n"/>
      <c r="N524" s="9" t="n"/>
      <c r="O524" s="9" t="n"/>
    </row>
    <row r="525">
      <c r="A525" s="737" t="n"/>
      <c r="F525" s="372" t="n"/>
      <c r="G525" s="372" t="n"/>
      <c r="H525" s="372" t="n"/>
      <c r="I525" s="373" t="n"/>
      <c r="J525" s="9" t="n"/>
      <c r="K525" s="9" t="n"/>
      <c r="L525" s="9" t="n"/>
      <c r="M525" s="9" t="n"/>
      <c r="N525" s="9" t="n"/>
      <c r="O525" s="9" t="n"/>
    </row>
    <row r="526">
      <c r="A526" s="405" t="n"/>
      <c r="B526" s="406" t="n"/>
      <c r="C526" s="406" t="n"/>
      <c r="D526" s="406" t="n"/>
      <c r="E526" s="407" t="n"/>
      <c r="F526" s="372" t="n"/>
      <c r="G526" s="372" t="n"/>
      <c r="H526" s="372" t="n"/>
      <c r="I526" s="373" t="n"/>
      <c r="J526" s="9" t="n"/>
      <c r="K526" s="9" t="n"/>
      <c r="L526" s="9" t="n"/>
      <c r="M526" s="9" t="n"/>
      <c r="N526" s="9" t="n"/>
      <c r="O526" s="9" t="n"/>
    </row>
    <row r="527">
      <c r="A527" s="374" t="n"/>
      <c r="B527" s="375" t="n"/>
      <c r="C527" s="375" t="n"/>
      <c r="D527" s="375" t="n"/>
      <c r="E527" s="372" t="n"/>
      <c r="F527" s="372" t="n"/>
      <c r="G527" s="372" t="n"/>
      <c r="H527" s="372" t="n"/>
      <c r="I527" s="373" t="n"/>
      <c r="J527" s="9" t="n"/>
      <c r="K527" s="9" t="n"/>
      <c r="L527" s="9" t="n"/>
      <c r="M527" s="9" t="n"/>
      <c r="N527" s="9" t="n"/>
      <c r="O527" s="9" t="n"/>
    </row>
    <row r="528">
      <c r="A528" s="374" t="n"/>
      <c r="B528" s="375" t="n"/>
      <c r="C528" s="375" t="n"/>
      <c r="D528" s="375" t="n"/>
      <c r="E528" s="372" t="n"/>
      <c r="F528" s="372" t="n"/>
      <c r="G528" s="372" t="n"/>
      <c r="H528" s="372" t="n"/>
      <c r="I528" s="373" t="n"/>
      <c r="J528" s="9" t="n"/>
      <c r="K528" s="9" t="n"/>
      <c r="L528" s="9" t="n"/>
      <c r="M528" s="9" t="n"/>
      <c r="N528" s="9" t="n"/>
      <c r="O528" s="9" t="n"/>
    </row>
    <row r="529">
      <c r="A529" s="374" t="n"/>
      <c r="B529" s="375" t="n"/>
      <c r="C529" s="375" t="n"/>
      <c r="D529" s="375" t="n"/>
      <c r="E529" s="372" t="n"/>
      <c r="F529" s="372" t="n"/>
      <c r="G529" s="372" t="n"/>
      <c r="H529" s="372" t="n"/>
      <c r="I529" s="373" t="n"/>
      <c r="J529" s="9" t="n"/>
      <c r="K529" s="9" t="n"/>
      <c r="L529" s="9" t="n"/>
      <c r="M529" s="9" t="n"/>
      <c r="N529" s="9" t="n"/>
      <c r="O529" s="9" t="n"/>
    </row>
    <row r="530">
      <c r="A530" s="376" t="n"/>
      <c r="B530" s="377" t="n"/>
      <c r="C530" s="377" t="n"/>
      <c r="D530" s="377" t="n"/>
      <c r="E530" s="378" t="n"/>
      <c r="F530" s="378" t="n"/>
      <c r="G530" s="378" t="n"/>
      <c r="H530" s="378" t="n"/>
      <c r="I530" s="379" t="n"/>
      <c r="J530" s="9" t="n"/>
      <c r="K530" s="9" t="n"/>
      <c r="L530" s="9" t="n"/>
      <c r="M530" s="9" t="n"/>
      <c r="N530" s="9" t="n"/>
      <c r="O530" s="9" t="n"/>
    </row>
    <row r="531" ht="18" customHeight="1">
      <c r="A531" s="747" t="inlineStr">
        <is>
          <t xml:space="preserve">　○：良　　△：要注意　　×：要修理</t>
        </is>
      </c>
      <c r="B531" s="586" t="n"/>
      <c r="C531" s="586" t="n"/>
      <c r="D531" s="586" t="n"/>
      <c r="E531" s="586" t="n"/>
      <c r="F531" s="586" t="n"/>
      <c r="G531" s="586" t="n"/>
      <c r="H531" s="586" t="n"/>
      <c r="I531" s="586" t="n"/>
      <c r="J531" s="9" t="n"/>
      <c r="K531" s="9" t="n"/>
      <c r="L531" s="9" t="n"/>
      <c r="M531" s="9" t="n"/>
      <c r="N531" s="9" t="n"/>
      <c r="O531" s="9" t="n"/>
    </row>
    <row r="532" ht="22" customHeight="1">
      <c r="A532" s="299" t="inlineStr">
        <is>
          <t xml:space="preserve">　機械設備日常点検表（１/３）</t>
        </is>
      </c>
      <c r="B532" s="594" t="n"/>
      <c r="C532" s="300" t="n"/>
      <c r="D532" s="594" t="n"/>
      <c r="E532" s="594" t="n"/>
      <c r="F532" s="594" t="n"/>
      <c r="G532" s="594" t="n"/>
      <c r="H532" s="300">
        <f>H1</f>
        <v/>
      </c>
      <c r="I532" s="594" t="n"/>
      <c r="J532" s="9" t="n"/>
      <c r="K532" s="9" t="n"/>
      <c r="L532" s="9" t="n"/>
      <c r="M532" s="9" t="n"/>
      <c r="N532" s="9" t="n"/>
      <c r="O532" s="9" t="n"/>
    </row>
    <row r="533" ht="18" customHeight="1">
      <c r="A533" s="726" t="inlineStr">
        <is>
          <t>機　器　名</t>
        </is>
      </c>
      <c r="B533" s="726" t="inlineStr">
        <is>
          <t>No</t>
        </is>
      </c>
      <c r="C533" s="726" t="inlineStr">
        <is>
          <t>点 検 者</t>
        </is>
      </c>
      <c r="D533" s="580" t="n"/>
      <c r="E533" s="302" t="inlineStr">
        <is>
          <t>山根　悠貴</t>
        </is>
      </c>
      <c r="F533" s="726" t="inlineStr">
        <is>
          <t>山根　悠貴</t>
        </is>
      </c>
      <c r="G533" s="726" t="inlineStr">
        <is>
          <t>山根　悠貴</t>
        </is>
      </c>
      <c r="H533" s="726" t="inlineStr">
        <is>
          <t>山根　悠貴</t>
        </is>
      </c>
      <c r="I533" s="726" t="inlineStr">
        <is>
          <t>山根　悠貴</t>
        </is>
      </c>
      <c r="J533" s="9" t="n"/>
      <c r="K533" s="9" t="n"/>
      <c r="L533" s="9" t="n"/>
      <c r="M533" s="9" t="n"/>
      <c r="N533" s="9" t="n"/>
      <c r="O533" s="9" t="n"/>
    </row>
    <row r="534" ht="18" customHeight="1">
      <c r="A534" s="626" t="n"/>
      <c r="B534" s="626" t="n"/>
      <c r="C534" s="726" t="inlineStr">
        <is>
          <t>点検内容</t>
        </is>
      </c>
      <c r="D534" s="580" t="n"/>
      <c r="E534" s="930">
        <f>I357+3</f>
        <v/>
      </c>
      <c r="F534" s="931">
        <f>E534+1</f>
        <v/>
      </c>
      <c r="G534" s="931">
        <f>F534+1</f>
        <v/>
      </c>
      <c r="H534" s="931">
        <f>G534+1</f>
        <v/>
      </c>
      <c r="I534" s="931">
        <f>H534+1</f>
        <v/>
      </c>
      <c r="J534" s="9" t="n"/>
      <c r="K534" s="9" t="n"/>
      <c r="L534" s="9" t="n"/>
      <c r="M534" s="9" t="n"/>
      <c r="N534" s="9" t="n"/>
      <c r="O534" s="9" t="n"/>
    </row>
    <row r="535">
      <c r="A535" s="729" t="inlineStr">
        <is>
          <t>ポンプ井</t>
        </is>
      </c>
      <c r="B535" s="726" t="inlineStr">
        <is>
          <t>―</t>
        </is>
      </c>
      <c r="C535" s="306" t="inlineStr">
        <is>
          <t>内部状況確認</t>
        </is>
      </c>
      <c r="D535" s="307" t="n"/>
      <c r="E535" s="308" t="n"/>
      <c r="F535" s="309" t="n"/>
      <c r="G535" s="309" t="n"/>
      <c r="H535" s="309" t="n"/>
      <c r="I535" s="309" t="n"/>
      <c r="J535" s="9" t="n"/>
      <c r="K535" s="9" t="n"/>
      <c r="L535" s="9" t="n"/>
      <c r="M535" s="9" t="n"/>
      <c r="N535" s="9" t="n"/>
      <c r="O535" s="9" t="n"/>
    </row>
    <row r="536">
      <c r="A536" s="756" t="inlineStr">
        <is>
          <t>汚水ポンプ</t>
        </is>
      </c>
      <c r="B536" s="726" t="n">
        <v>1</v>
      </c>
      <c r="C536" s="310" t="inlineStr">
        <is>
          <t>電流値</t>
        </is>
      </c>
      <c r="D536" s="734" t="inlineStr">
        <is>
          <t>Ａ</t>
        </is>
      </c>
      <c r="E536" s="937" t="n"/>
      <c r="F536" s="936" t="n"/>
      <c r="G536" s="936" t="n"/>
      <c r="H536" s="936" t="n"/>
      <c r="I536" s="935" t="n"/>
      <c r="J536" s="9" t="n"/>
      <c r="K536" s="9" t="n"/>
      <c r="L536" s="9" t="n"/>
      <c r="M536" s="9" t="n"/>
      <c r="N536" s="9" t="n"/>
      <c r="O536" s="9" t="n"/>
    </row>
    <row r="537">
      <c r="A537" s="679" t="n"/>
      <c r="B537" s="679" t="n"/>
      <c r="C537" s="314" t="inlineStr">
        <is>
          <t>吐出圧力</t>
        </is>
      </c>
      <c r="D537" s="315" t="inlineStr">
        <is>
          <t>Mpa</t>
        </is>
      </c>
      <c r="E537" s="383" t="n"/>
      <c r="F537" s="382" t="n"/>
      <c r="G537" s="382" t="n"/>
      <c r="H537" s="382" t="n"/>
      <c r="I537" s="317" t="n"/>
      <c r="J537" s="9" t="n"/>
      <c r="K537" s="9" t="n"/>
      <c r="L537" s="9" t="n"/>
      <c r="M537" s="9" t="n"/>
      <c r="N537" s="9" t="n"/>
      <c r="O537" s="9" t="n"/>
    </row>
    <row r="538">
      <c r="A538" s="679" t="n"/>
      <c r="B538" s="626" t="n"/>
      <c r="C538" s="318" t="inlineStr">
        <is>
          <t>異音、振動</t>
        </is>
      </c>
      <c r="D538" s="319" t="n"/>
      <c r="E538" s="385" t="n"/>
      <c r="F538" s="384" t="n"/>
      <c r="G538" s="384" t="n"/>
      <c r="H538" s="384" t="n"/>
      <c r="I538" s="321" t="n"/>
      <c r="J538" s="9" t="n"/>
      <c r="K538" s="9" t="n"/>
      <c r="L538" s="9" t="n"/>
      <c r="M538" s="9" t="n"/>
      <c r="N538" s="9" t="n"/>
      <c r="O538" s="9" t="n"/>
    </row>
    <row r="539">
      <c r="A539" s="679" t="n"/>
      <c r="B539" s="726" t="n">
        <v>2</v>
      </c>
      <c r="C539" s="310" t="inlineStr">
        <is>
          <t>電流値</t>
        </is>
      </c>
      <c r="D539" s="734" t="inlineStr">
        <is>
          <t>Ａ</t>
        </is>
      </c>
      <c r="E539" s="932" t="n"/>
      <c r="F539" s="933" t="n"/>
      <c r="G539" s="933" t="n"/>
      <c r="H539" s="933" t="n"/>
      <c r="I539" s="933" t="n"/>
      <c r="J539" s="9" t="n"/>
      <c r="K539" s="9" t="n"/>
      <c r="L539" s="9" t="n"/>
      <c r="M539" s="9" t="n"/>
      <c r="N539" s="9" t="n"/>
      <c r="O539" s="9" t="n"/>
    </row>
    <row r="540" ht="13.5" customHeight="1">
      <c r="A540" s="679" t="n"/>
      <c r="B540" s="679" t="n"/>
      <c r="C540" s="314" t="inlineStr">
        <is>
          <t>吐出圧力</t>
        </is>
      </c>
      <c r="D540" s="315" t="inlineStr">
        <is>
          <t>Mpa</t>
        </is>
      </c>
      <c r="E540" s="322" t="n"/>
      <c r="F540" s="323" t="n"/>
      <c r="G540" s="323" t="n"/>
      <c r="H540" s="323" t="n"/>
      <c r="I540" s="323" t="n"/>
      <c r="J540" s="9" t="n"/>
      <c r="K540" s="73" t="n"/>
      <c r="L540" s="9" t="n"/>
      <c r="M540" s="9" t="n"/>
      <c r="N540" s="9" t="n"/>
      <c r="O540" s="9" t="n"/>
    </row>
    <row r="541">
      <c r="A541" s="679" t="n"/>
      <c r="B541" s="626" t="n"/>
      <c r="C541" s="318">
        <f>C538</f>
        <v/>
      </c>
      <c r="D541" s="319" t="n"/>
      <c r="E541" s="324" t="n"/>
      <c r="F541" s="325" t="n"/>
      <c r="G541" s="325" t="n"/>
      <c r="H541" s="325" t="n"/>
      <c r="I541" s="325" t="n"/>
      <c r="J541" s="9" t="n"/>
      <c r="K541" s="9" t="n"/>
      <c r="L541" s="9" t="n"/>
      <c r="M541" s="9" t="n"/>
      <c r="N541" s="9" t="n"/>
      <c r="O541" s="9" t="n"/>
    </row>
    <row r="542" ht="18" customHeight="1">
      <c r="A542" s="679" t="n"/>
      <c r="B542" s="726" t="inlineStr">
        <is>
          <t>―</t>
        </is>
      </c>
      <c r="C542" s="745" t="inlineStr">
        <is>
          <t>モード確認</t>
        </is>
      </c>
      <c r="D542" s="746" t="n"/>
      <c r="E542" s="326" t="n"/>
      <c r="F542" s="327" t="n"/>
      <c r="G542" s="327" t="n"/>
      <c r="H542" s="327" t="n"/>
      <c r="I542" s="327" t="n"/>
      <c r="J542" s="9" t="n"/>
      <c r="K542" s="73" t="n"/>
      <c r="L542" s="73" t="n"/>
      <c r="M542" s="73" t="n"/>
      <c r="N542" s="76" t="n"/>
      <c r="O542" s="9" t="n"/>
    </row>
    <row r="543" ht="18" customHeight="1">
      <c r="A543" s="626" t="n"/>
      <c r="B543" s="626" t="n"/>
      <c r="C543" s="743" t="inlineStr">
        <is>
          <t>機種選択</t>
        </is>
      </c>
      <c r="D543" s="591" t="n"/>
      <c r="E543" s="328" t="n"/>
      <c r="F543" s="329" t="n"/>
      <c r="G543" s="329" t="n"/>
      <c r="H543" s="329" t="n"/>
      <c r="I543" s="329" t="n"/>
      <c r="J543" s="9" t="n"/>
      <c r="K543" s="72" t="n"/>
      <c r="L543" s="72" t="n"/>
      <c r="M543" s="72" t="n"/>
      <c r="N543" s="9" t="n"/>
      <c r="O543" s="9" t="n"/>
    </row>
    <row r="544">
      <c r="A544" s="729" t="inlineStr">
        <is>
          <t>自動除塵機</t>
        </is>
      </c>
      <c r="B544" s="726" t="n"/>
      <c r="C544" s="330" t="inlineStr">
        <is>
          <t>油圧圧力</t>
        </is>
      </c>
      <c r="D544" s="331" t="inlineStr">
        <is>
          <t>Mpa</t>
        </is>
      </c>
      <c r="E544" s="932" t="n"/>
      <c r="F544" s="933" t="n"/>
      <c r="G544" s="933" t="n"/>
      <c r="H544" s="933" t="n"/>
      <c r="I544" s="933" t="n"/>
      <c r="J544" s="9" t="n"/>
      <c r="K544" s="9" t="n"/>
      <c r="L544" s="9" t="n"/>
      <c r="M544" s="9" t="n"/>
      <c r="N544" s="9" t="n"/>
      <c r="O544" s="9" t="n"/>
    </row>
    <row r="545">
      <c r="A545" s="679" t="n"/>
      <c r="B545" s="679" t="n"/>
      <c r="C545" s="314" t="inlineStr">
        <is>
          <t>異音、振動</t>
        </is>
      </c>
      <c r="D545" s="315" t="n"/>
      <c r="E545" s="316" t="n"/>
      <c r="F545" s="317" t="n"/>
      <c r="G545" s="317" t="n"/>
      <c r="H545" s="317" t="n"/>
      <c r="I545" s="317" t="n"/>
      <c r="J545" s="9" t="n"/>
      <c r="K545" s="76" t="n"/>
      <c r="L545" s="76" t="n"/>
      <c r="M545" s="76" t="n"/>
      <c r="N545" s="72" t="n"/>
      <c r="O545" s="9" t="n"/>
    </row>
    <row r="546">
      <c r="A546" s="679" t="n"/>
      <c r="B546" s="679" t="n"/>
      <c r="C546" s="314" t="inlineStr">
        <is>
          <t>し渣量の確認</t>
        </is>
      </c>
      <c r="D546" s="315" t="n"/>
      <c r="E546" s="316" t="n"/>
      <c r="F546" s="317" t="n"/>
      <c r="G546" s="317" t="n"/>
      <c r="H546" s="317" t="n"/>
      <c r="I546" s="317" t="n"/>
      <c r="J546" s="9" t="n"/>
      <c r="K546" s="76" t="n"/>
      <c r="L546" s="76" t="n"/>
      <c r="M546" s="72" t="n"/>
      <c r="N546" s="9" t="n"/>
      <c r="O546" s="9" t="n"/>
    </row>
    <row r="547">
      <c r="A547" s="626" t="n"/>
      <c r="B547" s="626" t="n"/>
      <c r="C547" s="318" t="inlineStr">
        <is>
          <t>運転動作</t>
        </is>
      </c>
      <c r="D547" s="319" t="n"/>
      <c r="E547" s="320" t="n"/>
      <c r="F547" s="321" t="n"/>
      <c r="G547" s="321" t="n"/>
      <c r="H547" s="321" t="n"/>
      <c r="I547" s="321" t="n"/>
      <c r="J547" s="9" t="n"/>
      <c r="K547" s="9" t="n"/>
      <c r="L547" s="9" t="n"/>
      <c r="M547" s="9" t="n"/>
      <c r="N547" s="9" t="n"/>
      <c r="O547" s="9" t="n"/>
    </row>
    <row r="548">
      <c r="A548" s="741" t="inlineStr">
        <is>
          <t>エアレーション装置</t>
        </is>
      </c>
      <c r="B548" s="728" t="inlineStr">
        <is>
          <t>№1</t>
        </is>
      </c>
      <c r="C548" s="310" t="inlineStr">
        <is>
          <t>電流値</t>
        </is>
      </c>
      <c r="D548" s="734" t="inlineStr">
        <is>
          <t>Ａ</t>
        </is>
      </c>
      <c r="E548" s="932" t="n"/>
      <c r="F548" s="933" t="n"/>
      <c r="G548" s="933" t="n"/>
      <c r="H548" s="933" t="n"/>
      <c r="I548" s="933" t="n"/>
      <c r="J548" s="9" t="n"/>
      <c r="K548" s="9" t="n"/>
      <c r="L548" s="9" t="n"/>
      <c r="M548" s="9" t="n"/>
      <c r="N548" s="9" t="n"/>
      <c r="O548" s="9" t="n"/>
    </row>
    <row r="549">
      <c r="A549" s="679" t="n"/>
      <c r="B549" s="679" t="n"/>
      <c r="C549" s="314">
        <f>C545</f>
        <v/>
      </c>
      <c r="D549" s="315" t="n"/>
      <c r="E549" s="316" t="n"/>
      <c r="F549" s="317" t="n"/>
      <c r="G549" s="317" t="n"/>
      <c r="H549" s="317" t="n"/>
      <c r="I549" s="317" t="n"/>
      <c r="J549" s="9" t="n"/>
      <c r="K549" s="76" t="n"/>
      <c r="L549" s="76" t="n"/>
      <c r="M549" s="76" t="n"/>
      <c r="N549" s="9" t="n"/>
      <c r="O549" s="9" t="n"/>
    </row>
    <row r="550" ht="18" customHeight="1">
      <c r="A550" s="679" t="n"/>
      <c r="B550" s="626" t="n"/>
      <c r="C550" s="743" t="inlineStr">
        <is>
          <t>モード確認</t>
        </is>
      </c>
      <c r="D550" s="591" t="n"/>
      <c r="E550" s="320" t="n"/>
      <c r="F550" s="321" t="n"/>
      <c r="G550" s="321" t="n"/>
      <c r="H550" s="321" t="n"/>
      <c r="I550" s="321" t="n"/>
      <c r="J550" s="9" t="n"/>
      <c r="K550" s="9" t="n"/>
      <c r="L550" s="9" t="n"/>
      <c r="M550" s="9" t="n"/>
      <c r="N550" s="9" t="n"/>
      <c r="O550" s="9" t="n"/>
    </row>
    <row r="551">
      <c r="A551" s="679" t="n"/>
      <c r="B551" s="728" t="inlineStr">
        <is>
          <t>№2</t>
        </is>
      </c>
      <c r="C551" s="310" t="inlineStr">
        <is>
          <t>電流値</t>
        </is>
      </c>
      <c r="D551" s="734" t="inlineStr">
        <is>
          <t>Ａ</t>
        </is>
      </c>
      <c r="E551" s="932" t="n"/>
      <c r="F551" s="933" t="n"/>
      <c r="G551" s="933" t="n"/>
      <c r="H551" s="933" t="n"/>
      <c r="I551" s="933" t="n"/>
      <c r="J551" s="9" t="n"/>
      <c r="K551" s="76" t="n"/>
      <c r="L551" s="76" t="n"/>
      <c r="M551" s="76" t="n"/>
      <c r="N551" s="9" t="n"/>
      <c r="O551" s="9" t="n"/>
    </row>
    <row r="552">
      <c r="A552" s="679" t="n"/>
      <c r="B552" s="679" t="n"/>
      <c r="C552" s="314">
        <f>C549</f>
        <v/>
      </c>
      <c r="D552" s="315" t="n"/>
      <c r="E552" s="316" t="n"/>
      <c r="F552" s="317" t="n"/>
      <c r="G552" s="317" t="n"/>
      <c r="H552" s="317" t="n"/>
      <c r="I552" s="317" t="n"/>
      <c r="J552" s="9" t="n"/>
      <c r="K552" s="9" t="n"/>
      <c r="L552" s="9" t="n"/>
      <c r="M552" s="9" t="n"/>
      <c r="N552" s="9" t="n"/>
      <c r="O552" s="9" t="n"/>
    </row>
    <row r="553" ht="18" customHeight="1">
      <c r="A553" s="679" t="n"/>
      <c r="B553" s="626" t="n"/>
      <c r="C553" s="743" t="inlineStr">
        <is>
          <t>モード確認</t>
        </is>
      </c>
      <c r="D553" s="591" t="n"/>
      <c r="E553" s="320" t="n"/>
      <c r="F553" s="321" t="n"/>
      <c r="G553" s="321" t="n"/>
      <c r="H553" s="321" t="n"/>
      <c r="I553" s="321" t="n"/>
      <c r="J553" s="9" t="n"/>
      <c r="K553" s="76" t="n"/>
      <c r="L553" s="76" t="n"/>
      <c r="M553" s="9" t="n"/>
      <c r="N553" s="9" t="n"/>
      <c r="O553" s="9" t="n"/>
    </row>
    <row r="554">
      <c r="A554" s="679" t="n"/>
      <c r="B554" s="728" t="inlineStr">
        <is>
          <t>№3</t>
        </is>
      </c>
      <c r="C554" s="310" t="inlineStr">
        <is>
          <t>電流値</t>
        </is>
      </c>
      <c r="D554" s="734" t="inlineStr">
        <is>
          <t>Ａ</t>
        </is>
      </c>
      <c r="E554" s="932" t="n"/>
      <c r="F554" s="933" t="n"/>
      <c r="G554" s="933" t="n"/>
      <c r="H554" s="933" t="n"/>
      <c r="I554" s="933" t="n"/>
      <c r="J554" s="76" t="n"/>
      <c r="K554" s="76" t="n"/>
      <c r="L554" s="76" t="n"/>
      <c r="M554" s="9" t="n"/>
      <c r="N554" s="9" t="n"/>
      <c r="O554" s="9" t="n"/>
    </row>
    <row r="555">
      <c r="A555" s="679" t="n"/>
      <c r="B555" s="679" t="n"/>
      <c r="C555" s="314">
        <f>C552</f>
        <v/>
      </c>
      <c r="D555" s="315" t="n"/>
      <c r="E555" s="316" t="n"/>
      <c r="F555" s="317" t="n"/>
      <c r="G555" s="317" t="n"/>
      <c r="H555" s="317" t="n"/>
      <c r="I555" s="317" t="n"/>
      <c r="J555" s="9" t="n"/>
      <c r="K555" s="9" t="n"/>
      <c r="L555" s="9" t="n"/>
      <c r="M555" s="9" t="n"/>
      <c r="N555" s="9" t="n"/>
      <c r="O555" s="9" t="n"/>
    </row>
    <row r="556" ht="18" customHeight="1">
      <c r="A556" s="679" t="n"/>
      <c r="B556" s="626" t="n"/>
      <c r="C556" s="743" t="inlineStr">
        <is>
          <t>モード確認</t>
        </is>
      </c>
      <c r="D556" s="591" t="n"/>
      <c r="E556" s="320" t="n"/>
      <c r="F556" s="321" t="n"/>
      <c r="G556" s="321" t="n"/>
      <c r="H556" s="321" t="n"/>
      <c r="I556" s="321" t="n"/>
      <c r="J556" s="9" t="n"/>
      <c r="K556" s="9" t="n"/>
      <c r="L556" s="9" t="n"/>
      <c r="M556" s="9" t="n"/>
      <c r="N556" s="9" t="n"/>
      <c r="O556" s="9" t="n"/>
    </row>
    <row r="557">
      <c r="A557" s="679" t="n"/>
      <c r="B557" s="728" t="inlineStr">
        <is>
          <t>№4</t>
        </is>
      </c>
      <c r="C557" s="310" t="inlineStr">
        <is>
          <t>電流値</t>
        </is>
      </c>
      <c r="D557" s="734" t="inlineStr">
        <is>
          <t>Ａ</t>
        </is>
      </c>
      <c r="E557" s="932" t="n"/>
      <c r="F557" s="933" t="n"/>
      <c r="G557" s="933" t="n"/>
      <c r="H557" s="933" t="n"/>
      <c r="I557" s="933" t="n"/>
      <c r="J557" s="9" t="n"/>
      <c r="K557" s="9" t="n"/>
      <c r="L557" s="9" t="n"/>
      <c r="M557" s="9" t="n"/>
      <c r="N557" s="9" t="n"/>
      <c r="O557" s="9" t="n"/>
    </row>
    <row r="558">
      <c r="A558" s="679" t="n"/>
      <c r="B558" s="679" t="n"/>
      <c r="C558" s="314">
        <f>C555</f>
        <v/>
      </c>
      <c r="D558" s="315" t="n"/>
      <c r="E558" s="316" t="n"/>
      <c r="F558" s="317" t="n"/>
      <c r="G558" s="317" t="n"/>
      <c r="H558" s="317" t="n"/>
      <c r="I558" s="317" t="n"/>
      <c r="J558" s="9" t="n"/>
      <c r="K558" s="9" t="n"/>
      <c r="L558" s="9" t="n"/>
      <c r="M558" s="9" t="n"/>
      <c r="N558" s="9" t="n"/>
      <c r="O558" s="9" t="n"/>
    </row>
    <row r="559" ht="18" customHeight="1">
      <c r="A559" s="626" t="n"/>
      <c r="B559" s="626" t="n"/>
      <c r="C559" s="743" t="inlineStr">
        <is>
          <t>モード確認</t>
        </is>
      </c>
      <c r="D559" s="591" t="n"/>
      <c r="E559" s="320" t="n"/>
      <c r="F559" s="321" t="n"/>
      <c r="G559" s="321" t="n"/>
      <c r="H559" s="321" t="n"/>
      <c r="I559" s="321" t="n"/>
      <c r="J559" s="9" t="n"/>
      <c r="K559" s="9" t="n"/>
      <c r="L559" s="9" t="n"/>
      <c r="M559" s="9" t="n"/>
      <c r="N559" s="9" t="n"/>
      <c r="O559" s="9" t="n"/>
    </row>
    <row r="560">
      <c r="A560" s="729" t="inlineStr">
        <is>
          <t>消泡装置</t>
        </is>
      </c>
      <c r="B560" s="726" t="inlineStr">
        <is>
          <t>―</t>
        </is>
      </c>
      <c r="C560" s="310" t="inlineStr">
        <is>
          <t>消泡ノズル</t>
        </is>
      </c>
      <c r="D560" s="734" t="n"/>
      <c r="E560" s="332" t="n"/>
      <c r="F560" s="333" t="n"/>
      <c r="G560" s="333" t="n"/>
      <c r="H560" s="333" t="n"/>
      <c r="I560" s="333" t="n"/>
      <c r="J560" s="9" t="n"/>
      <c r="K560" s="9" t="n"/>
      <c r="L560" s="9" t="n"/>
      <c r="M560" s="9" t="n"/>
      <c r="N560" s="9" t="n"/>
      <c r="O560" s="9" t="n"/>
    </row>
    <row r="561">
      <c r="A561" s="626" t="n"/>
      <c r="B561" s="626" t="n"/>
      <c r="C561" s="334" t="inlineStr">
        <is>
          <t>消泡状態</t>
        </is>
      </c>
      <c r="D561" s="335" t="n"/>
      <c r="E561" s="324" t="n"/>
      <c r="F561" s="325" t="n"/>
      <c r="G561" s="325" t="n"/>
      <c r="H561" s="325" t="n"/>
      <c r="I561" s="325" t="n"/>
      <c r="J561" s="9" t="n"/>
      <c r="K561" s="9" t="n"/>
      <c r="L561" s="9" t="n"/>
      <c r="M561" s="9" t="n"/>
      <c r="N561" s="9" t="n"/>
      <c r="O561" s="9" t="n"/>
    </row>
    <row r="562">
      <c r="A562" s="729" t="inlineStr">
        <is>
          <t>流出可動堰</t>
        </is>
      </c>
      <c r="B562" s="336" t="n">
        <v>1</v>
      </c>
      <c r="C562" s="310" t="inlineStr">
        <is>
          <t>開度</t>
        </is>
      </c>
      <c r="D562" s="734" t="inlineStr">
        <is>
          <t>㎜</t>
        </is>
      </c>
      <c r="E562" s="326" t="n"/>
      <c r="F562" s="327" t="n"/>
      <c r="G562" s="327" t="n"/>
      <c r="H562" s="327" t="n"/>
      <c r="I562" s="327" t="n"/>
      <c r="J562" s="9" t="n"/>
      <c r="K562" s="9" t="n"/>
      <c r="L562" s="9" t="n"/>
      <c r="M562" s="9" t="n"/>
      <c r="N562" s="9" t="n"/>
      <c r="O562" s="9" t="n"/>
    </row>
    <row r="563">
      <c r="A563" s="626" t="n"/>
      <c r="B563" s="337" t="n">
        <v>2</v>
      </c>
      <c r="C563" s="334" t="inlineStr">
        <is>
          <t>開度</t>
        </is>
      </c>
      <c r="D563" s="335" t="inlineStr">
        <is>
          <t>㎜</t>
        </is>
      </c>
      <c r="E563" s="320" t="n"/>
      <c r="F563" s="321" t="n"/>
      <c r="G563" s="321" t="n"/>
      <c r="H563" s="321" t="n"/>
      <c r="I563" s="321" t="n"/>
      <c r="J563" s="9" t="n"/>
      <c r="K563" s="9" t="n"/>
      <c r="L563" s="9" t="n"/>
      <c r="M563" s="9" t="n"/>
      <c r="N563" s="9" t="n"/>
      <c r="O563" s="9" t="n"/>
    </row>
    <row r="564">
      <c r="A564" s="729" t="inlineStr">
        <is>
          <t>流出ゲート</t>
        </is>
      </c>
      <c r="B564" s="336" t="n">
        <v>1</v>
      </c>
      <c r="C564" s="310" t="inlineStr">
        <is>
          <t>開度</t>
        </is>
      </c>
      <c r="D564" s="734" t="inlineStr">
        <is>
          <t>㎜</t>
        </is>
      </c>
      <c r="E564" s="332" t="n"/>
      <c r="F564" s="333" t="n"/>
      <c r="G564" s="333" t="n"/>
      <c r="H564" s="333" t="n"/>
      <c r="I564" s="333" t="n"/>
      <c r="J564" s="9" t="n"/>
      <c r="K564" s="9" t="n"/>
      <c r="L564" s="9" t="n"/>
      <c r="M564" s="9" t="n"/>
      <c r="N564" s="9" t="n"/>
      <c r="O564" s="9" t="n"/>
    </row>
    <row r="565">
      <c r="A565" s="626" t="n"/>
      <c r="B565" s="337" t="n">
        <v>2</v>
      </c>
      <c r="C565" s="334" t="inlineStr">
        <is>
          <t>開度</t>
        </is>
      </c>
      <c r="D565" s="335" t="inlineStr">
        <is>
          <t>㎜</t>
        </is>
      </c>
      <c r="E565" s="324" t="n"/>
      <c r="F565" s="325" t="n"/>
      <c r="G565" s="325" t="n"/>
      <c r="H565" s="325" t="n"/>
      <c r="I565" s="325" t="n"/>
      <c r="J565" s="9" t="n"/>
      <c r="K565" s="9" t="n"/>
      <c r="L565" s="9" t="n"/>
      <c r="M565" s="9" t="n"/>
      <c r="N565" s="9" t="n"/>
      <c r="O565" s="9" t="n"/>
    </row>
    <row r="566">
      <c r="A566" s="729" t="inlineStr">
        <is>
          <t>連絡ゲート</t>
        </is>
      </c>
      <c r="B566" s="726" t="inlineStr">
        <is>
          <t>－</t>
        </is>
      </c>
      <c r="C566" s="306" t="inlineStr">
        <is>
          <t>開度</t>
        </is>
      </c>
      <c r="D566" s="307" t="inlineStr">
        <is>
          <t>㎜</t>
        </is>
      </c>
      <c r="E566" s="308" t="n"/>
      <c r="F566" s="309" t="n"/>
      <c r="G566" s="309" t="n"/>
      <c r="H566" s="309" t="n"/>
      <c r="I566" s="309" t="n"/>
      <c r="J566" s="9" t="n"/>
      <c r="K566" s="9" t="n"/>
      <c r="L566" s="9" t="n"/>
      <c r="M566" s="9" t="n"/>
      <c r="N566" s="9" t="n"/>
      <c r="O566" s="9" t="n"/>
    </row>
    <row r="567">
      <c r="A567" s="741" t="inlineStr">
        <is>
          <t>終沈汚泥掻寄機</t>
        </is>
      </c>
      <c r="B567" s="726" t="n">
        <v>1</v>
      </c>
      <c r="C567" s="310" t="inlineStr">
        <is>
          <t>電流値</t>
        </is>
      </c>
      <c r="D567" s="734" t="inlineStr">
        <is>
          <t>Ａ</t>
        </is>
      </c>
      <c r="E567" s="338" t="n"/>
      <c r="F567" s="339" t="n"/>
      <c r="G567" s="339" t="n"/>
      <c r="H567" s="339" t="n"/>
      <c r="I567" s="339" t="n"/>
      <c r="J567" s="9" t="n"/>
      <c r="K567" s="9" t="n"/>
      <c r="L567" s="9" t="n"/>
      <c r="M567" s="9" t="n"/>
      <c r="N567" s="9" t="n"/>
      <c r="O567" s="9" t="n"/>
    </row>
    <row r="568">
      <c r="A568" s="679" t="n"/>
      <c r="B568" s="626" t="n"/>
      <c r="C568" s="340" t="inlineStr">
        <is>
          <t>異音、振動等</t>
        </is>
      </c>
      <c r="D568" s="335" t="n"/>
      <c r="E568" s="324" t="n"/>
      <c r="F568" s="325" t="n"/>
      <c r="G568" s="325" t="n"/>
      <c r="H568" s="325" t="n"/>
      <c r="I568" s="325" t="n"/>
      <c r="J568" s="9" t="n"/>
      <c r="K568" s="9" t="n"/>
      <c r="L568" s="9" t="n"/>
      <c r="M568" s="9" t="n"/>
      <c r="N568" s="9" t="n"/>
      <c r="O568" s="9" t="n"/>
    </row>
    <row r="569">
      <c r="A569" s="679" t="n"/>
      <c r="B569" s="726" t="n">
        <v>2</v>
      </c>
      <c r="C569" s="341" t="inlineStr">
        <is>
          <t>電流値</t>
        </is>
      </c>
      <c r="D569" s="342" t="inlineStr">
        <is>
          <t>Ａ</t>
        </is>
      </c>
      <c r="E569" s="338" t="n"/>
      <c r="F569" s="339" t="n"/>
      <c r="G569" s="339" t="n"/>
      <c r="H569" s="339" t="n"/>
      <c r="I569" s="339" t="n"/>
      <c r="J569" s="9" t="n"/>
      <c r="K569" s="9" t="n"/>
      <c r="L569" s="9" t="n"/>
      <c r="M569" s="9" t="n"/>
      <c r="N569" s="9" t="n"/>
      <c r="O569" s="9" t="n"/>
    </row>
    <row r="570">
      <c r="A570" s="626" t="n"/>
      <c r="B570" s="626" t="n"/>
      <c r="C570" s="318">
        <f>C568</f>
        <v/>
      </c>
      <c r="D570" s="319" t="n"/>
      <c r="E570" s="320" t="n"/>
      <c r="F570" s="321" t="n"/>
      <c r="G570" s="321" t="n"/>
      <c r="H570" s="321" t="n"/>
      <c r="I570" s="321" t="n"/>
      <c r="J570" s="9" t="n"/>
      <c r="K570" s="9" t="n"/>
      <c r="L570" s="9" t="n"/>
      <c r="M570" s="9" t="n"/>
      <c r="N570" s="9" t="n"/>
      <c r="O570" s="9" t="n"/>
    </row>
    <row r="571">
      <c r="A571" s="741" t="inlineStr">
        <is>
          <t>スカムスキマー</t>
        </is>
      </c>
      <c r="B571" s="726" t="n">
        <v>1</v>
      </c>
      <c r="C571" s="310" t="inlineStr">
        <is>
          <t>動作状況</t>
        </is>
      </c>
      <c r="D571" s="734" t="n"/>
      <c r="E571" s="332" t="n"/>
      <c r="F571" s="333" t="n"/>
      <c r="G571" s="333" t="n"/>
      <c r="H571" s="333" t="n"/>
      <c r="I571" s="333" t="n"/>
      <c r="J571" s="9" t="n"/>
      <c r="K571" s="9" t="n"/>
      <c r="L571" s="9" t="n"/>
      <c r="M571" s="9" t="n"/>
      <c r="N571" s="9" t="n"/>
      <c r="O571" s="9" t="n"/>
    </row>
    <row r="572">
      <c r="A572" s="679" t="n"/>
      <c r="B572" s="626" t="n"/>
      <c r="C572" s="334" t="inlineStr">
        <is>
          <t>スカムの状況</t>
        </is>
      </c>
      <c r="D572" s="335" t="n"/>
      <c r="E572" s="324" t="n"/>
      <c r="F572" s="325" t="n"/>
      <c r="G572" s="325" t="n"/>
      <c r="H572" s="325" t="n"/>
      <c r="I572" s="325" t="n"/>
      <c r="J572" s="9" t="n"/>
      <c r="K572" s="9" t="n"/>
      <c r="L572" s="9" t="n"/>
      <c r="M572" s="9" t="n"/>
      <c r="N572" s="9" t="n"/>
      <c r="O572" s="9" t="n"/>
    </row>
    <row r="573">
      <c r="A573" s="679" t="n"/>
      <c r="B573" s="726" t="n">
        <v>2</v>
      </c>
      <c r="C573" s="341" t="inlineStr">
        <is>
          <t>動作状況</t>
        </is>
      </c>
      <c r="D573" s="342" t="n"/>
      <c r="E573" s="326" t="n"/>
      <c r="F573" s="327" t="n"/>
      <c r="G573" s="327" t="n"/>
      <c r="H573" s="327" t="n"/>
      <c r="I573" s="327" t="n"/>
      <c r="J573" s="9" t="n"/>
      <c r="K573" s="9" t="n"/>
      <c r="L573" s="9" t="n"/>
      <c r="M573" s="9" t="n"/>
      <c r="N573" s="9" t="n"/>
      <c r="O573" s="9" t="n"/>
    </row>
    <row r="574">
      <c r="A574" s="626" t="n"/>
      <c r="B574" s="626" t="n"/>
      <c r="C574" s="318" t="inlineStr">
        <is>
          <t>スカムの状況</t>
        </is>
      </c>
      <c r="D574" s="319" t="n"/>
      <c r="E574" s="320" t="n"/>
      <c r="F574" s="321" t="n"/>
      <c r="G574" s="321" t="n"/>
      <c r="H574" s="321" t="n"/>
      <c r="I574" s="321" t="n"/>
      <c r="J574" s="9" t="n"/>
      <c r="K574" s="9" t="n"/>
      <c r="L574" s="9" t="n"/>
      <c r="M574" s="9" t="n"/>
      <c r="N574" s="9" t="n"/>
      <c r="O574" s="9" t="n"/>
    </row>
    <row r="575">
      <c r="A575" s="749" t="inlineStr">
        <is>
          <t>返送汚泥ポンプ</t>
        </is>
      </c>
      <c r="B575" s="728" t="inlineStr">
        <is>
          <t>№1</t>
        </is>
      </c>
      <c r="C575" s="310" t="inlineStr">
        <is>
          <t>電流値</t>
        </is>
      </c>
      <c r="D575" s="734" t="inlineStr">
        <is>
          <t>Ａ</t>
        </is>
      </c>
      <c r="E575" s="932" t="n"/>
      <c r="F575" s="933" t="n"/>
      <c r="G575" s="933" t="n"/>
      <c r="H575" s="933" t="n"/>
      <c r="I575" s="933" t="n"/>
      <c r="J575" s="9" t="n"/>
      <c r="K575" s="9" t="n"/>
      <c r="L575" s="9" t="n"/>
      <c r="M575" s="9" t="n"/>
      <c r="N575" s="9" t="n"/>
      <c r="O575" s="9" t="n"/>
    </row>
    <row r="576">
      <c r="A576" s="679" t="n"/>
      <c r="B576" s="679" t="n"/>
      <c r="C576" s="314" t="inlineStr">
        <is>
          <t>吐出圧力</t>
        </is>
      </c>
      <c r="D576" s="315" t="inlineStr">
        <is>
          <t>Mpa</t>
        </is>
      </c>
      <c r="E576" s="316" t="n"/>
      <c r="F576" s="317" t="n"/>
      <c r="G576" s="317" t="n"/>
      <c r="H576" s="317" t="n"/>
      <c r="I576" s="317" t="n"/>
      <c r="J576" s="9" t="n"/>
      <c r="K576" s="9" t="n"/>
      <c r="L576" s="9" t="n"/>
      <c r="M576" s="9" t="n"/>
      <c r="N576" s="9" t="n"/>
      <c r="O576" s="9" t="n"/>
    </row>
    <row r="577">
      <c r="A577" s="679" t="n"/>
      <c r="B577" s="626" t="n"/>
      <c r="C577" s="318" t="inlineStr">
        <is>
          <t>異音、振動</t>
        </is>
      </c>
      <c r="D577" s="319" t="n"/>
      <c r="E577" s="320" t="n"/>
      <c r="F577" s="321" t="n"/>
      <c r="G577" s="321" t="n"/>
      <c r="H577" s="321" t="n"/>
      <c r="I577" s="321" t="n"/>
      <c r="J577" s="9" t="n"/>
      <c r="K577" s="9" t="n"/>
      <c r="L577" s="9" t="n"/>
      <c r="M577" s="9" t="n"/>
      <c r="N577" s="9" t="n"/>
      <c r="O577" s="9" t="n"/>
    </row>
    <row r="578">
      <c r="A578" s="679" t="n"/>
      <c r="B578" s="728" t="inlineStr">
        <is>
          <t>№2</t>
        </is>
      </c>
      <c r="C578" s="310" t="inlineStr">
        <is>
          <t>電流値</t>
        </is>
      </c>
      <c r="D578" s="734" t="inlineStr">
        <is>
          <t>Ａ</t>
        </is>
      </c>
      <c r="E578" s="332" t="n"/>
      <c r="F578" s="333" t="n"/>
      <c r="G578" s="333" t="n"/>
      <c r="H578" s="333" t="n"/>
      <c r="I578" s="333" t="n"/>
      <c r="J578" s="9" t="n"/>
      <c r="K578" s="9" t="n"/>
      <c r="L578" s="9" t="n"/>
      <c r="M578" s="9" t="n"/>
      <c r="N578" s="9" t="n"/>
      <c r="O578" s="9" t="n"/>
    </row>
    <row r="579">
      <c r="A579" s="679" t="n"/>
      <c r="B579" s="679" t="n"/>
      <c r="C579" s="314">
        <f>C576</f>
        <v/>
      </c>
      <c r="D579" s="315" t="inlineStr">
        <is>
          <t>Mpa</t>
        </is>
      </c>
      <c r="E579" s="316" t="n"/>
      <c r="F579" s="317" t="n"/>
      <c r="G579" s="317" t="n"/>
      <c r="H579" s="317" t="n"/>
      <c r="I579" s="317" t="n"/>
      <c r="J579" s="9" t="n"/>
      <c r="K579" s="9" t="n"/>
      <c r="L579" s="9" t="n"/>
      <c r="M579" s="9" t="n"/>
      <c r="N579" s="9" t="n"/>
      <c r="O579" s="9" t="n"/>
    </row>
    <row r="580">
      <c r="A580" s="679" t="n"/>
      <c r="B580" s="626" t="n"/>
      <c r="C580" s="318" t="inlineStr">
        <is>
          <t>異音、振動</t>
        </is>
      </c>
      <c r="D580" s="319" t="n"/>
      <c r="E580" s="320" t="n"/>
      <c r="F580" s="321" t="n"/>
      <c r="G580" s="321" t="n"/>
      <c r="H580" s="321" t="n"/>
      <c r="I580" s="321" t="n"/>
      <c r="J580" s="9" t="n"/>
      <c r="K580" s="9" t="n"/>
      <c r="L580" s="9" t="n"/>
      <c r="M580" s="9" t="n"/>
      <c r="N580" s="9" t="n"/>
      <c r="O580" s="9" t="n"/>
    </row>
    <row r="581">
      <c r="A581" s="679" t="n"/>
      <c r="B581" s="728" t="inlineStr">
        <is>
          <t>―</t>
        </is>
      </c>
      <c r="C581" s="310" t="inlineStr">
        <is>
          <t>モード確認</t>
        </is>
      </c>
      <c r="D581" s="734" t="n"/>
      <c r="E581" s="332" t="n"/>
      <c r="F581" s="333" t="n"/>
      <c r="G581" s="333" t="n"/>
      <c r="H581" s="333" t="n"/>
      <c r="I581" s="333" t="n"/>
      <c r="J581" s="9" t="n"/>
      <c r="K581" s="9" t="n"/>
      <c r="L581" s="9" t="n"/>
      <c r="M581" s="9" t="n"/>
      <c r="N581" s="9" t="n"/>
      <c r="O581" s="9" t="n"/>
    </row>
    <row r="582">
      <c r="A582" s="679" t="n"/>
      <c r="B582" s="626" t="n"/>
      <c r="C582" s="334" t="inlineStr">
        <is>
          <t>常用機選択</t>
        </is>
      </c>
      <c r="D582" s="335" t="n"/>
      <c r="E582" s="324" t="n"/>
      <c r="F582" s="325" t="n"/>
      <c r="G582" s="325" t="n"/>
      <c r="H582" s="325" t="n"/>
      <c r="I582" s="325" t="n"/>
      <c r="J582" s="9" t="n"/>
      <c r="K582" s="343" t="n"/>
      <c r="L582" s="343" t="n"/>
      <c r="M582" s="9" t="n"/>
      <c r="N582" s="9" t="n"/>
      <c r="O582" s="9" t="n"/>
    </row>
    <row r="583">
      <c r="A583" s="679" t="n"/>
      <c r="B583" s="728" t="inlineStr">
        <is>
          <t>№3</t>
        </is>
      </c>
      <c r="C583" s="310" t="inlineStr">
        <is>
          <t>電流値</t>
        </is>
      </c>
      <c r="D583" s="734" t="inlineStr">
        <is>
          <t>Ａ</t>
        </is>
      </c>
      <c r="E583" s="932" t="n"/>
      <c r="F583" s="933" t="n"/>
      <c r="G583" s="933" t="n"/>
      <c r="H583" s="933" t="n"/>
      <c r="I583" s="933" t="n"/>
      <c r="J583" s="9" t="n"/>
      <c r="K583" s="9" t="n"/>
      <c r="L583" s="9" t="n"/>
      <c r="M583" s="9" t="n"/>
      <c r="N583" s="9" t="n"/>
      <c r="O583" s="9" t="n"/>
    </row>
    <row r="584">
      <c r="A584" s="679" t="n"/>
      <c r="B584" s="679" t="n"/>
      <c r="C584" s="314">
        <f>C579</f>
        <v/>
      </c>
      <c r="D584" s="315" t="inlineStr">
        <is>
          <t>Mpa</t>
        </is>
      </c>
      <c r="E584" s="316" t="n"/>
      <c r="F584" s="317" t="n"/>
      <c r="G584" s="317" t="n"/>
      <c r="H584" s="317" t="n"/>
      <c r="I584" s="317" t="n"/>
      <c r="J584" s="9" t="n"/>
      <c r="K584" s="9" t="n"/>
      <c r="L584" s="9" t="n"/>
      <c r="M584" s="9" t="n"/>
      <c r="N584" s="9" t="n"/>
      <c r="O584" s="9" t="n"/>
    </row>
    <row r="585">
      <c r="A585" s="679" t="n"/>
      <c r="B585" s="626" t="n"/>
      <c r="C585" s="318" t="inlineStr">
        <is>
          <t>異音、振動</t>
        </is>
      </c>
      <c r="D585" s="319" t="n"/>
      <c r="E585" s="320" t="n"/>
      <c r="F585" s="321" t="n"/>
      <c r="G585" s="321" t="n"/>
      <c r="H585" s="321" t="n"/>
      <c r="I585" s="321" t="n"/>
      <c r="J585" s="9" t="n"/>
      <c r="K585" s="9" t="n"/>
      <c r="L585" s="9" t="n"/>
      <c r="M585" s="9" t="n"/>
      <c r="N585" s="9" t="n"/>
      <c r="O585" s="9" t="n"/>
    </row>
    <row r="586">
      <c r="A586" s="679" t="n"/>
      <c r="B586" s="728" t="inlineStr">
        <is>
          <t>№4</t>
        </is>
      </c>
      <c r="C586" s="310" t="inlineStr">
        <is>
          <t>電流値</t>
        </is>
      </c>
      <c r="D586" s="734" t="inlineStr">
        <is>
          <t>Ａ</t>
        </is>
      </c>
      <c r="E586" s="332" t="n"/>
      <c r="F586" s="333" t="n"/>
      <c r="G586" s="333" t="n"/>
      <c r="H586" s="333" t="n"/>
      <c r="I586" s="333" t="n"/>
      <c r="J586" s="9" t="n"/>
      <c r="K586" s="9" t="n"/>
      <c r="L586" s="9" t="n"/>
      <c r="M586" s="9" t="n"/>
      <c r="N586" s="9" t="n"/>
      <c r="O586" s="9" t="n"/>
    </row>
    <row r="587">
      <c r="A587" s="679" t="n"/>
      <c r="B587" s="679" t="n"/>
      <c r="C587" s="314">
        <f>C584</f>
        <v/>
      </c>
      <c r="D587" s="315" t="inlineStr">
        <is>
          <t>Mpa</t>
        </is>
      </c>
      <c r="E587" s="316" t="n"/>
      <c r="F587" s="317" t="n"/>
      <c r="G587" s="317" t="n"/>
      <c r="H587" s="317" t="n"/>
      <c r="I587" s="317" t="n"/>
      <c r="J587" s="9" t="n"/>
      <c r="K587" s="9" t="n"/>
      <c r="L587" s="9" t="n"/>
      <c r="M587" s="9" t="n"/>
      <c r="N587" s="9" t="n"/>
      <c r="O587" s="9" t="n"/>
    </row>
    <row r="588">
      <c r="A588" s="679" t="n"/>
      <c r="B588" s="626" t="n"/>
      <c r="C588" s="318" t="inlineStr">
        <is>
          <t>異音、振動</t>
        </is>
      </c>
      <c r="D588" s="319" t="n"/>
      <c r="E588" s="320" t="n"/>
      <c r="F588" s="321" t="n"/>
      <c r="G588" s="321" t="n"/>
      <c r="H588" s="321" t="n"/>
      <c r="I588" s="321" t="n"/>
      <c r="J588" s="9" t="n"/>
      <c r="K588" s="9" t="n"/>
      <c r="L588" s="9" t="n"/>
      <c r="M588" s="9" t="n"/>
      <c r="N588" s="9" t="n"/>
      <c r="O588" s="9" t="n"/>
    </row>
    <row r="589">
      <c r="A589" s="679" t="n"/>
      <c r="B589" s="754" t="inlineStr">
        <is>
          <t>―</t>
        </is>
      </c>
      <c r="C589" s="310" t="inlineStr">
        <is>
          <t>モード確認</t>
        </is>
      </c>
      <c r="D589" s="734" t="n"/>
      <c r="E589" s="332" t="n"/>
      <c r="F589" s="333" t="n"/>
      <c r="G589" s="333" t="n"/>
      <c r="H589" s="333" t="n"/>
      <c r="I589" s="333" t="n"/>
      <c r="J589" s="9" t="n"/>
      <c r="K589" s="9" t="n"/>
      <c r="L589" s="9" t="n"/>
      <c r="M589" s="9" t="n"/>
      <c r="N589" s="9" t="n"/>
      <c r="O589" s="9" t="n"/>
    </row>
    <row r="590">
      <c r="A590" s="679" t="n"/>
      <c r="B590" s="679" t="n"/>
      <c r="C590" s="334" t="inlineStr">
        <is>
          <t>常用機選択</t>
        </is>
      </c>
      <c r="D590" s="335" t="n"/>
      <c r="E590" s="324" t="n"/>
      <c r="F590" s="325" t="n"/>
      <c r="G590" s="325" t="n"/>
      <c r="H590" s="325" t="n"/>
      <c r="I590" s="325" t="n"/>
      <c r="J590" s="9" t="n"/>
      <c r="K590" s="343" t="n"/>
      <c r="L590" s="343" t="n"/>
      <c r="M590" s="343" t="n"/>
      <c r="N590" s="9" t="n"/>
      <c r="O590" s="9" t="n"/>
    </row>
    <row r="591" ht="18" customHeight="1">
      <c r="A591" s="747" t="inlineStr">
        <is>
          <t xml:space="preserve">　○：良　　△：要注意　　×：要修理</t>
        </is>
      </c>
      <c r="B591" s="586" t="n"/>
      <c r="C591" s="586" t="n"/>
      <c r="D591" s="586" t="n"/>
      <c r="E591" s="586" t="n"/>
      <c r="F591" s="586" t="n"/>
      <c r="G591" s="586" t="n"/>
      <c r="H591" s="586" t="n"/>
      <c r="I591" s="586" t="n"/>
      <c r="J591" s="9" t="n"/>
      <c r="K591" s="9" t="n"/>
      <c r="L591" s="9" t="n"/>
      <c r="M591" s="9" t="n"/>
      <c r="N591" s="9" t="n"/>
      <c r="O591" s="9" t="n"/>
    </row>
    <row r="592" ht="22" customHeight="1">
      <c r="A592" s="299" t="inlineStr">
        <is>
          <t>機械設備日常点検表（２/３）</t>
        </is>
      </c>
      <c r="B592" s="594" t="n"/>
      <c r="C592" s="300" t="n"/>
      <c r="D592" s="594" t="n"/>
      <c r="E592" s="594" t="n"/>
      <c r="F592" s="594" t="n"/>
      <c r="G592" s="594" t="n"/>
      <c r="H592" s="300">
        <f>H532</f>
        <v/>
      </c>
      <c r="I592" s="594" t="n"/>
      <c r="J592" s="9" t="n"/>
      <c r="K592" s="9" t="n"/>
      <c r="L592" s="9" t="n"/>
      <c r="M592" s="9" t="n"/>
      <c r="N592" s="9" t="n"/>
      <c r="O592" s="9" t="n"/>
    </row>
    <row r="593" ht="18" customHeight="1">
      <c r="A593" s="726" t="inlineStr">
        <is>
          <t>機　器　名</t>
        </is>
      </c>
      <c r="B593" s="726" t="inlineStr">
        <is>
          <t>No</t>
        </is>
      </c>
      <c r="C593" s="726" t="inlineStr">
        <is>
          <t>点 検 者</t>
        </is>
      </c>
      <c r="D593" s="580" t="n"/>
      <c r="E593" s="302">
        <f>E533</f>
        <v/>
      </c>
      <c r="F593" s="726">
        <f>F533</f>
        <v/>
      </c>
      <c r="G593" s="726">
        <f>G533</f>
        <v/>
      </c>
      <c r="H593" s="726">
        <f>H533</f>
        <v/>
      </c>
      <c r="I593" s="726">
        <f>I533</f>
        <v/>
      </c>
      <c r="J593" s="9" t="n"/>
      <c r="K593" s="9" t="n"/>
      <c r="L593" s="9" t="n"/>
      <c r="M593" s="9" t="n"/>
      <c r="N593" s="9" t="n"/>
      <c r="O593" s="9" t="n"/>
    </row>
    <row r="594" ht="18" customHeight="1">
      <c r="A594" s="626" t="n"/>
      <c r="B594" s="626" t="n"/>
      <c r="C594" s="726" t="inlineStr">
        <is>
          <t>点検内容</t>
        </is>
      </c>
      <c r="D594" s="580" t="n"/>
      <c r="E594" s="930">
        <f>E534</f>
        <v/>
      </c>
      <c r="F594" s="931">
        <f>F534</f>
        <v/>
      </c>
      <c r="G594" s="931">
        <f>G534</f>
        <v/>
      </c>
      <c r="H594" s="931">
        <f>H534</f>
        <v/>
      </c>
      <c r="I594" s="931">
        <f>I534</f>
        <v/>
      </c>
      <c r="J594" s="9" t="n"/>
      <c r="K594" s="9" t="n"/>
      <c r="L594" s="9" t="n"/>
      <c r="M594" s="9" t="n"/>
      <c r="N594" s="9" t="n"/>
      <c r="O594" s="9" t="n"/>
    </row>
    <row r="595">
      <c r="A595" s="741" t="inlineStr">
        <is>
          <t>余剰汚泥ポンプ</t>
        </is>
      </c>
      <c r="B595" s="726" t="n">
        <v>1</v>
      </c>
      <c r="C595" s="310" t="inlineStr">
        <is>
          <t>電流値</t>
        </is>
      </c>
      <c r="D595" s="734" t="inlineStr">
        <is>
          <t>Ａ</t>
        </is>
      </c>
      <c r="E595" s="933" t="n"/>
      <c r="F595" s="933" t="n"/>
      <c r="G595" s="933" t="n"/>
      <c r="H595" s="933" t="n"/>
      <c r="I595" s="933" t="n"/>
      <c r="J595" s="9" t="n"/>
      <c r="K595" s="9" t="n"/>
      <c r="L595" s="9" t="n"/>
      <c r="M595" s="9" t="n"/>
      <c r="N595" s="9" t="n"/>
      <c r="O595" s="9" t="n"/>
    </row>
    <row r="596">
      <c r="A596" s="679" t="n"/>
      <c r="B596" s="679" t="n"/>
      <c r="C596" s="314">
        <f>C584</f>
        <v/>
      </c>
      <c r="D596" s="315" t="inlineStr">
        <is>
          <t>Mpa</t>
        </is>
      </c>
      <c r="E596" s="317" t="n"/>
      <c r="F596" s="317" t="n"/>
      <c r="G596" s="317" t="n"/>
      <c r="H596" s="317" t="n"/>
      <c r="I596" s="317" t="n"/>
      <c r="J596" s="9" t="n"/>
      <c r="K596" s="9" t="n"/>
      <c r="L596" s="9" t="n"/>
      <c r="M596" s="9" t="n"/>
      <c r="N596" s="9" t="n"/>
      <c r="O596" s="9" t="n"/>
    </row>
    <row r="597">
      <c r="A597" s="679" t="n"/>
      <c r="B597" s="679" t="n"/>
      <c r="C597" s="330" t="inlineStr">
        <is>
          <t>異音、振動</t>
        </is>
      </c>
      <c r="D597" s="331" t="n"/>
      <c r="E597" s="329" t="n"/>
      <c r="F597" s="329" t="n"/>
      <c r="G597" s="329" t="n"/>
      <c r="H597" s="329" t="n"/>
      <c r="I597" s="329" t="n"/>
      <c r="J597" s="9" t="n"/>
      <c r="K597" s="9" t="n"/>
      <c r="L597" s="9" t="n"/>
      <c r="M597" s="9" t="n"/>
      <c r="N597" s="9" t="n"/>
      <c r="O597" s="9" t="n"/>
    </row>
    <row r="598">
      <c r="A598" s="679" t="n"/>
      <c r="B598" s="679" t="n"/>
      <c r="C598" s="314" t="inlineStr">
        <is>
          <t>液漏れ</t>
        </is>
      </c>
      <c r="D598" s="315" t="n"/>
      <c r="E598" s="317" t="n"/>
      <c r="F598" s="317" t="n"/>
      <c r="G598" s="317" t="n"/>
      <c r="H598" s="317" t="n"/>
      <c r="I598" s="317" t="n"/>
      <c r="J598" s="9" t="n"/>
      <c r="K598" s="9" t="n"/>
      <c r="L598" s="9" t="n"/>
      <c r="M598" s="9" t="n"/>
      <c r="N598" s="9" t="n"/>
      <c r="O598" s="9" t="n"/>
    </row>
    <row r="599">
      <c r="A599" s="679" t="n"/>
      <c r="B599" s="626" t="n"/>
      <c r="C599" s="318" t="inlineStr">
        <is>
          <t>モード確認</t>
        </is>
      </c>
      <c r="D599" s="319" t="n"/>
      <c r="E599" s="325" t="n"/>
      <c r="F599" s="325" t="n"/>
      <c r="G599" s="325" t="n"/>
      <c r="H599" s="325" t="n"/>
      <c r="I599" s="325" t="n"/>
      <c r="J599" s="9" t="n"/>
      <c r="K599" s="9" t="n"/>
      <c r="L599" s="9" t="n"/>
      <c r="M599" s="9" t="n"/>
      <c r="N599" s="9" t="n"/>
      <c r="O599" s="9" t="n"/>
    </row>
    <row r="600">
      <c r="A600" s="679" t="n"/>
      <c r="B600" s="726" t="n">
        <v>2</v>
      </c>
      <c r="C600" s="310" t="inlineStr">
        <is>
          <t>電流値</t>
        </is>
      </c>
      <c r="D600" s="734" t="inlineStr">
        <is>
          <t>Ａ</t>
        </is>
      </c>
      <c r="E600" s="933" t="n"/>
      <c r="F600" s="933" t="n"/>
      <c r="G600" s="933" t="n"/>
      <c r="H600" s="933" t="n"/>
      <c r="I600" s="933" t="n"/>
      <c r="J600" s="9" t="n"/>
      <c r="K600" s="9" t="n"/>
      <c r="L600" s="9" t="n"/>
      <c r="M600" s="9" t="n"/>
      <c r="N600" s="9" t="n"/>
      <c r="O600" s="9" t="n"/>
    </row>
    <row r="601">
      <c r="A601" s="679" t="n"/>
      <c r="B601" s="679" t="n"/>
      <c r="C601" s="314">
        <f>C596</f>
        <v/>
      </c>
      <c r="D601" s="315" t="inlineStr">
        <is>
          <t>Mpa</t>
        </is>
      </c>
      <c r="E601" s="317" t="n"/>
      <c r="F601" s="317" t="n"/>
      <c r="G601" s="317" t="n"/>
      <c r="H601" s="317" t="n"/>
      <c r="I601" s="317" t="n"/>
      <c r="J601" s="9" t="n"/>
      <c r="K601" s="9" t="n"/>
      <c r="L601" s="9" t="n"/>
      <c r="M601" s="9" t="n"/>
      <c r="N601" s="9" t="n"/>
      <c r="O601" s="9" t="n"/>
    </row>
    <row r="602">
      <c r="A602" s="679" t="n"/>
      <c r="B602" s="679" t="n"/>
      <c r="C602" s="330" t="inlineStr">
        <is>
          <t>異音、振動</t>
        </is>
      </c>
      <c r="D602" s="331" t="n"/>
      <c r="E602" s="329" t="n"/>
      <c r="F602" s="329" t="n"/>
      <c r="G602" s="329" t="n"/>
      <c r="H602" s="329" t="n"/>
      <c r="I602" s="329" t="n"/>
      <c r="J602" s="9" t="n"/>
      <c r="K602" s="9" t="n"/>
      <c r="L602" s="9" t="n"/>
      <c r="M602" s="9" t="n"/>
      <c r="N602" s="9" t="n"/>
      <c r="O602" s="9" t="n"/>
    </row>
    <row r="603">
      <c r="A603" s="679" t="n"/>
      <c r="B603" s="679" t="n"/>
      <c r="C603" s="314" t="inlineStr">
        <is>
          <t>液漏れ</t>
        </is>
      </c>
      <c r="D603" s="315" t="n"/>
      <c r="E603" s="317" t="n"/>
      <c r="F603" s="317" t="n"/>
      <c r="G603" s="317" t="n"/>
      <c r="H603" s="317" t="n"/>
      <c r="I603" s="317" t="n"/>
      <c r="J603" s="9" t="n"/>
      <c r="K603" s="9" t="n"/>
      <c r="L603" s="9" t="n"/>
      <c r="M603" s="9" t="n"/>
      <c r="N603" s="9" t="n"/>
      <c r="O603" s="9" t="n"/>
    </row>
    <row r="604">
      <c r="A604" s="626" t="n"/>
      <c r="B604" s="626" t="n"/>
      <c r="C604" s="318" t="inlineStr">
        <is>
          <t>モード確認</t>
        </is>
      </c>
      <c r="D604" s="319" t="n"/>
      <c r="E604" s="325" t="n"/>
      <c r="F604" s="325" t="n"/>
      <c r="G604" s="325" t="n"/>
      <c r="H604" s="325" t="n"/>
      <c r="I604" s="325" t="n"/>
      <c r="J604" s="9" t="n"/>
      <c r="K604" s="9" t="n"/>
      <c r="L604" s="9" t="n"/>
      <c r="M604" s="9" t="n"/>
      <c r="N604" s="9" t="n"/>
      <c r="O604" s="9" t="n"/>
    </row>
    <row r="605">
      <c r="A605" s="727" t="inlineStr">
        <is>
          <t>終沈床排水ポンプ</t>
        </is>
      </c>
      <c r="B605" s="726" t="inlineStr">
        <is>
          <t>―</t>
        </is>
      </c>
      <c r="C605" s="341" t="inlineStr">
        <is>
          <t>電流値</t>
        </is>
      </c>
      <c r="D605" s="342" t="inlineStr">
        <is>
          <t>Ａ</t>
        </is>
      </c>
      <c r="E605" s="934" t="n"/>
      <c r="F605" s="935" t="n"/>
      <c r="G605" s="935" t="n"/>
      <c r="H605" s="935" t="n"/>
      <c r="I605" s="935" t="n"/>
      <c r="J605" s="9" t="n"/>
      <c r="K605" s="9" t="n"/>
      <c r="L605" s="9" t="n"/>
      <c r="M605" s="9" t="n"/>
      <c r="N605" s="9" t="n"/>
      <c r="O605" s="9" t="n"/>
    </row>
    <row r="606">
      <c r="A606" s="679" t="n"/>
      <c r="B606" s="679" t="n"/>
      <c r="C606" s="330" t="inlineStr">
        <is>
          <t>吐出圧力</t>
        </is>
      </c>
      <c r="D606" s="331" t="inlineStr">
        <is>
          <t>Mpa</t>
        </is>
      </c>
      <c r="E606" s="328" t="n"/>
      <c r="F606" s="329" t="n"/>
      <c r="G606" s="329" t="n"/>
      <c r="H606" s="329" t="n"/>
      <c r="I606" s="329" t="n"/>
      <c r="J606" s="9" t="n"/>
      <c r="K606" s="9" t="n"/>
      <c r="L606" s="9" t="n"/>
      <c r="M606" s="9" t="n"/>
      <c r="N606" s="9" t="n"/>
      <c r="O606" s="9" t="n"/>
    </row>
    <row r="607">
      <c r="A607" s="679" t="n"/>
      <c r="B607" s="679" t="n"/>
      <c r="C607" s="314">
        <f>C602</f>
        <v/>
      </c>
      <c r="D607" s="315" t="n"/>
      <c r="E607" s="316" t="n"/>
      <c r="F607" s="317" t="n"/>
      <c r="G607" s="317" t="n"/>
      <c r="H607" s="317" t="n"/>
      <c r="I607" s="317" t="n"/>
      <c r="J607" s="9" t="n"/>
      <c r="K607" s="9" t="n"/>
      <c r="L607" s="9" t="n"/>
      <c r="M607" s="9" t="n"/>
      <c r="N607" s="9" t="n"/>
      <c r="O607" s="9" t="n"/>
    </row>
    <row r="608">
      <c r="A608" s="626" t="n"/>
      <c r="B608" s="626" t="n"/>
      <c r="C608" s="318">
        <f>C604</f>
        <v/>
      </c>
      <c r="D608" s="319" t="n"/>
      <c r="E608" s="324" t="n"/>
      <c r="F608" s="325" t="n"/>
      <c r="G608" s="325" t="n"/>
      <c r="H608" s="325" t="n"/>
      <c r="I608" s="325" t="n"/>
      <c r="J608" s="9" t="n"/>
      <c r="K608" s="9" t="n"/>
      <c r="L608" s="9" t="n"/>
      <c r="M608" s="9" t="n"/>
      <c r="N608" s="9" t="n"/>
      <c r="O608" s="9" t="n"/>
    </row>
    <row r="609">
      <c r="A609" s="727" t="inlineStr">
        <is>
          <t>返流水ポンプ</t>
        </is>
      </c>
      <c r="B609" s="728" t="inlineStr">
        <is>
          <t>№1</t>
        </is>
      </c>
      <c r="C609" s="314" t="inlineStr">
        <is>
          <t>吐出圧力</t>
        </is>
      </c>
      <c r="D609" s="315" t="inlineStr">
        <is>
          <t>Mpa</t>
        </is>
      </c>
      <c r="E609" s="316" t="n"/>
      <c r="F609" s="317" t="n"/>
      <c r="G609" s="317" t="n"/>
      <c r="H609" s="317" t="n"/>
      <c r="I609" s="317" t="n"/>
      <c r="J609" s="9" t="n"/>
      <c r="K609" s="9" t="n"/>
      <c r="L609" s="9" t="n"/>
      <c r="M609" s="9" t="n"/>
      <c r="N609" s="9" t="n"/>
      <c r="O609" s="9" t="n"/>
    </row>
    <row r="610">
      <c r="A610" s="679" t="n"/>
      <c r="B610" s="626" t="n"/>
      <c r="C610" s="318" t="inlineStr">
        <is>
          <t>異音、振動</t>
        </is>
      </c>
      <c r="D610" s="319" t="n"/>
      <c r="E610" s="320" t="n"/>
      <c r="F610" s="321" t="n"/>
      <c r="G610" s="321" t="n"/>
      <c r="H610" s="321" t="n"/>
      <c r="I610" s="321" t="n"/>
      <c r="J610" s="9" t="n"/>
      <c r="K610" s="9" t="n"/>
      <c r="L610" s="9" t="n"/>
      <c r="M610" s="9" t="n"/>
      <c r="N610" s="9" t="n"/>
      <c r="O610" s="9" t="n"/>
    </row>
    <row r="611">
      <c r="A611" s="679" t="n"/>
      <c r="B611" s="728" t="inlineStr">
        <is>
          <t>№2</t>
        </is>
      </c>
      <c r="C611" s="314">
        <f>C609</f>
        <v/>
      </c>
      <c r="D611" s="315" t="inlineStr">
        <is>
          <t>Mpa</t>
        </is>
      </c>
      <c r="E611" s="316" t="n"/>
      <c r="F611" s="317" t="n"/>
      <c r="G611" s="317" t="n"/>
      <c r="H611" s="317" t="n"/>
      <c r="I611" s="317" t="n"/>
      <c r="J611" s="9" t="n"/>
      <c r="K611" s="9" t="n"/>
      <c r="L611" s="9" t="n"/>
      <c r="M611" s="9" t="n"/>
      <c r="N611" s="9" t="n"/>
      <c r="O611" s="9" t="n"/>
    </row>
    <row r="612">
      <c r="A612" s="679" t="n"/>
      <c r="B612" s="626" t="n"/>
      <c r="C612" s="318" t="inlineStr">
        <is>
          <t>異音、振動</t>
        </is>
      </c>
      <c r="D612" s="319" t="n"/>
      <c r="E612" s="320" t="n"/>
      <c r="F612" s="321" t="n"/>
      <c r="G612" s="321" t="n"/>
      <c r="H612" s="321" t="n"/>
      <c r="I612" s="321" t="n"/>
      <c r="J612" s="9" t="n"/>
      <c r="K612" s="9" t="n"/>
      <c r="L612" s="9" t="n"/>
      <c r="M612" s="9" t="n"/>
      <c r="N612" s="9" t="n"/>
      <c r="O612" s="9" t="n"/>
    </row>
    <row r="613">
      <c r="A613" s="679" t="n"/>
      <c r="B613" s="728" t="inlineStr">
        <is>
          <t>―</t>
        </is>
      </c>
      <c r="C613" s="310" t="inlineStr">
        <is>
          <t>モード確認</t>
        </is>
      </c>
      <c r="D613" s="734" t="n"/>
      <c r="E613" s="332" t="n"/>
      <c r="F613" s="333" t="n"/>
      <c r="G613" s="333" t="n"/>
      <c r="H613" s="333" t="n"/>
      <c r="I613" s="333" t="n"/>
      <c r="J613" s="9" t="n"/>
      <c r="K613" s="9" t="n"/>
      <c r="L613" s="9" t="n"/>
      <c r="M613" s="9" t="n"/>
      <c r="N613" s="9" t="n"/>
      <c r="O613" s="9" t="n"/>
    </row>
    <row r="614" ht="18" customHeight="1">
      <c r="A614" s="626" t="n"/>
      <c r="B614" s="626" t="n"/>
      <c r="C614" s="742" t="inlineStr">
        <is>
          <t>機種選択</t>
        </is>
      </c>
      <c r="D614" s="731" t="n"/>
      <c r="E614" s="324" t="n"/>
      <c r="F614" s="324" t="n"/>
      <c r="G614" s="324" t="n"/>
      <c r="H614" s="324" t="n"/>
      <c r="I614" s="324" t="n"/>
      <c r="J614" s="9" t="n"/>
      <c r="K614" s="9" t="n"/>
      <c r="L614" s="9" t="n"/>
      <c r="M614" s="9" t="n"/>
      <c r="N614" s="9" t="n"/>
      <c r="O614" s="9" t="n"/>
    </row>
    <row r="615">
      <c r="A615" s="741" t="inlineStr">
        <is>
          <t>濃縮汚泥引抜         ポンプ</t>
        </is>
      </c>
      <c r="B615" s="726" t="n">
        <v>1</v>
      </c>
      <c r="C615" s="310" t="inlineStr">
        <is>
          <t>電流値</t>
        </is>
      </c>
      <c r="D615" s="734" t="inlineStr">
        <is>
          <t>Ａ</t>
        </is>
      </c>
      <c r="E615" s="933" t="n"/>
      <c r="F615" s="933" t="n"/>
      <c r="G615" s="933" t="n"/>
      <c r="H615" s="933" t="n"/>
      <c r="I615" s="933" t="n"/>
      <c r="J615" s="9" t="n"/>
      <c r="K615" s="9" t="n"/>
      <c r="L615" s="9" t="n"/>
      <c r="M615" s="9" t="n"/>
      <c r="N615" s="9" t="n"/>
      <c r="O615" s="9" t="n"/>
    </row>
    <row r="616">
      <c r="A616" s="679" t="n"/>
      <c r="B616" s="679" t="n"/>
      <c r="C616" s="314" t="inlineStr">
        <is>
          <t>吐出圧力</t>
        </is>
      </c>
      <c r="D616" s="315" t="inlineStr">
        <is>
          <t>Mpa</t>
        </is>
      </c>
      <c r="E616" s="323" t="n"/>
      <c r="F616" s="323" t="n"/>
      <c r="G616" s="323" t="n"/>
      <c r="H616" s="323" t="n"/>
      <c r="I616" s="323" t="n"/>
      <c r="J616" s="9" t="n"/>
      <c r="K616" s="9" t="n"/>
      <c r="L616" s="9" t="n"/>
      <c r="M616" s="9" t="n"/>
      <c r="N616" s="9" t="n"/>
      <c r="O616" s="9" t="n"/>
    </row>
    <row r="617">
      <c r="A617" s="679" t="n"/>
      <c r="B617" s="626" t="n"/>
      <c r="C617" s="318" t="inlineStr">
        <is>
          <t>異音、振動</t>
        </is>
      </c>
      <c r="D617" s="319" t="n"/>
      <c r="E617" s="325" t="n"/>
      <c r="F617" s="325" t="n"/>
      <c r="G617" s="325" t="n"/>
      <c r="H617" s="325" t="n"/>
      <c r="I617" s="325" t="n"/>
      <c r="J617" s="9" t="n"/>
      <c r="K617" s="9" t="n"/>
      <c r="L617" s="9" t="n"/>
      <c r="M617" s="9" t="n"/>
      <c r="N617" s="9" t="n"/>
      <c r="O617" s="9" t="n"/>
    </row>
    <row r="618">
      <c r="A618" s="679" t="n"/>
      <c r="B618" s="726" t="n">
        <v>2</v>
      </c>
      <c r="C618" s="310" t="inlineStr">
        <is>
          <t>電流値</t>
        </is>
      </c>
      <c r="D618" s="734" t="inlineStr">
        <is>
          <t>Ａ</t>
        </is>
      </c>
      <c r="E618" s="932" t="n"/>
      <c r="F618" s="933" t="n"/>
      <c r="G618" s="933" t="n"/>
      <c r="H618" s="933" t="n"/>
      <c r="I618" s="933" t="n"/>
      <c r="J618" s="9" t="n"/>
      <c r="K618" s="9" t="n"/>
      <c r="L618" s="9" t="n"/>
      <c r="M618" s="9" t="n"/>
      <c r="N618" s="9" t="n"/>
      <c r="O618" s="9" t="n"/>
    </row>
    <row r="619">
      <c r="A619" s="679" t="n"/>
      <c r="B619" s="679" t="n"/>
      <c r="C619" s="314" t="inlineStr">
        <is>
          <t>吐出圧力</t>
        </is>
      </c>
      <c r="D619" s="315" t="inlineStr">
        <is>
          <t>Mpa</t>
        </is>
      </c>
      <c r="E619" s="322" t="n"/>
      <c r="F619" s="323" t="n"/>
      <c r="G619" s="323" t="n"/>
      <c r="H619" s="323" t="n"/>
      <c r="I619" s="323" t="n"/>
      <c r="J619" s="9" t="n"/>
      <c r="K619" s="9" t="n"/>
      <c r="L619" s="9" t="n"/>
      <c r="M619" s="9" t="n"/>
      <c r="N619" s="9" t="n"/>
      <c r="O619" s="9" t="n"/>
    </row>
    <row r="620">
      <c r="A620" s="679" t="n"/>
      <c r="B620" s="626" t="n"/>
      <c r="C620" s="318">
        <f>C617</f>
        <v/>
      </c>
      <c r="D620" s="319" t="n"/>
      <c r="E620" s="324" t="n"/>
      <c r="F620" s="325" t="n"/>
      <c r="G620" s="325" t="n"/>
      <c r="H620" s="325" t="n"/>
      <c r="I620" s="325" t="n"/>
      <c r="J620" s="9" t="n"/>
      <c r="K620" s="9" t="n"/>
      <c r="L620" s="9" t="n"/>
      <c r="M620" s="9" t="n"/>
      <c r="N620" s="9" t="n"/>
      <c r="O620" s="9" t="n"/>
    </row>
    <row r="621">
      <c r="A621" s="679" t="n"/>
      <c r="B621" s="726" t="inlineStr">
        <is>
          <t>―</t>
        </is>
      </c>
      <c r="C621" s="310" t="inlineStr">
        <is>
          <t>モード確認</t>
        </is>
      </c>
      <c r="D621" s="734" t="n"/>
      <c r="E621" s="332" t="n"/>
      <c r="F621" s="333" t="n"/>
      <c r="G621" s="333" t="n"/>
      <c r="H621" s="333" t="n"/>
      <c r="I621" s="333" t="n"/>
      <c r="J621" s="9" t="n"/>
      <c r="K621" s="9" t="n"/>
      <c r="L621" s="9" t="n"/>
      <c r="M621" s="9" t="n"/>
      <c r="N621" s="9" t="n"/>
      <c r="O621" s="9" t="n"/>
    </row>
    <row r="622" ht="18" customHeight="1">
      <c r="A622" s="626" t="n"/>
      <c r="B622" s="626" t="n"/>
      <c r="C622" s="742" t="inlineStr">
        <is>
          <t>機種選択</t>
        </is>
      </c>
      <c r="D622" s="731" t="n"/>
      <c r="E622" s="324" t="n"/>
      <c r="F622" s="325" t="n"/>
      <c r="G622" s="325" t="n"/>
      <c r="H622" s="325" t="n"/>
      <c r="I622" s="325" t="n"/>
      <c r="J622" s="9" t="n"/>
      <c r="K622" s="9" t="n"/>
      <c r="L622" s="9" t="n"/>
      <c r="M622" s="9" t="n"/>
      <c r="N622" s="9" t="n"/>
      <c r="O622" s="9" t="n"/>
    </row>
    <row r="623">
      <c r="A623" s="741" t="inlineStr">
        <is>
          <t>濃縮汚泥引抜弁</t>
        </is>
      </c>
      <c r="B623" s="740" t="inlineStr">
        <is>
          <t>―</t>
        </is>
      </c>
      <c r="C623" s="330" t="inlineStr">
        <is>
          <t>電流値</t>
        </is>
      </c>
      <c r="D623" s="331" t="inlineStr">
        <is>
          <t>Ａ</t>
        </is>
      </c>
      <c r="E623" s="349" t="n"/>
      <c r="F623" s="349" t="n"/>
      <c r="G623" s="349" t="n"/>
      <c r="H623" s="349" t="n"/>
      <c r="I623" s="349" t="n"/>
      <c r="J623" s="9" t="n"/>
      <c r="K623" s="9" t="n"/>
      <c r="L623" s="9" t="n"/>
      <c r="M623" s="9" t="n"/>
      <c r="N623" s="9" t="n"/>
      <c r="O623" s="9" t="n"/>
    </row>
    <row r="624">
      <c r="A624" s="679" t="n"/>
      <c r="B624" s="679" t="n"/>
      <c r="C624" s="314" t="inlineStr">
        <is>
          <t>異音、振動</t>
        </is>
      </c>
      <c r="D624" s="315" t="n"/>
      <c r="E624" s="317" t="n"/>
      <c r="F624" s="317" t="n"/>
      <c r="G624" s="317" t="n"/>
      <c r="H624" s="317" t="n"/>
      <c r="I624" s="317" t="n"/>
      <c r="J624" s="9" t="n"/>
      <c r="K624" s="9" t="n"/>
      <c r="L624" s="9" t="n"/>
      <c r="M624" s="9" t="n"/>
      <c r="N624" s="9" t="n"/>
      <c r="O624" s="9" t="n"/>
    </row>
    <row r="625">
      <c r="A625" s="679" t="n"/>
      <c r="B625" s="679" t="n"/>
      <c r="C625" s="330" t="inlineStr">
        <is>
          <t>動作状況</t>
        </is>
      </c>
      <c r="D625" s="331" t="n"/>
      <c r="E625" s="329" t="n"/>
      <c r="F625" s="329" t="n"/>
      <c r="G625" s="329" t="n"/>
      <c r="H625" s="329" t="n"/>
      <c r="I625" s="329" t="n"/>
      <c r="J625" s="9" t="n"/>
      <c r="K625" s="9" t="n"/>
      <c r="L625" s="9" t="n"/>
      <c r="M625" s="9" t="n"/>
      <c r="N625" s="9" t="n"/>
      <c r="O625" s="9" t="n"/>
    </row>
    <row r="626" ht="18" customHeight="1">
      <c r="A626" s="626" t="n"/>
      <c r="B626" s="679" t="n"/>
      <c r="C626" s="742" t="inlineStr">
        <is>
          <t>モード確認</t>
        </is>
      </c>
      <c r="D626" s="731" t="n"/>
      <c r="E626" s="325" t="n"/>
      <c r="F626" s="325" t="n"/>
      <c r="G626" s="325" t="n"/>
      <c r="H626" s="325" t="n"/>
      <c r="I626" s="325" t="n"/>
      <c r="J626" s="9" t="n"/>
      <c r="K626" s="9" t="n"/>
      <c r="L626" s="76" t="n"/>
      <c r="M626" s="76" t="n"/>
      <c r="N626" s="9" t="n"/>
      <c r="O626" s="9" t="n"/>
    </row>
    <row r="627">
      <c r="A627" s="727" t="inlineStr">
        <is>
          <t>汚泥ポンプ室　　　　　床排水ポンプ</t>
        </is>
      </c>
      <c r="B627" s="726" t="inlineStr">
        <is>
          <t>―</t>
        </is>
      </c>
      <c r="C627" s="341" t="inlineStr">
        <is>
          <t>電流値</t>
        </is>
      </c>
      <c r="D627" s="342" t="inlineStr">
        <is>
          <t>Ａ</t>
        </is>
      </c>
      <c r="E627" s="934" t="n"/>
      <c r="F627" s="935" t="n"/>
      <c r="G627" s="935" t="n"/>
      <c r="H627" s="935" t="n"/>
      <c r="I627" s="935" t="n"/>
      <c r="J627" s="9" t="n"/>
      <c r="K627" s="9" t="n"/>
      <c r="L627" s="9" t="n"/>
      <c r="M627" s="9" t="n"/>
      <c r="N627" s="9" t="n"/>
      <c r="O627" s="9" t="n"/>
    </row>
    <row r="628">
      <c r="A628" s="679" t="n"/>
      <c r="B628" s="679" t="n"/>
      <c r="C628" s="330" t="inlineStr">
        <is>
          <t>吐出圧力</t>
        </is>
      </c>
      <c r="D628" s="331" t="inlineStr">
        <is>
          <t>Mpa</t>
        </is>
      </c>
      <c r="E628" s="328" t="n"/>
      <c r="F628" s="329" t="n"/>
      <c r="G628" s="329" t="n"/>
      <c r="H628" s="329" t="n"/>
      <c r="I628" s="329" t="n"/>
      <c r="J628" s="9" t="n"/>
      <c r="K628" s="9" t="n"/>
      <c r="L628" s="9" t="n"/>
      <c r="M628" s="9" t="n"/>
      <c r="N628" s="9" t="n"/>
      <c r="O628" s="9" t="n"/>
    </row>
    <row r="629">
      <c r="A629" s="679" t="n"/>
      <c r="B629" s="679" t="n"/>
      <c r="C629" s="314">
        <f>C620</f>
        <v/>
      </c>
      <c r="D629" s="315" t="n"/>
      <c r="E629" s="316" t="n"/>
      <c r="F629" s="317" t="n"/>
      <c r="G629" s="317" t="n"/>
      <c r="H629" s="317" t="n"/>
      <c r="I629" s="317" t="n"/>
      <c r="J629" s="9" t="n"/>
      <c r="K629" s="9" t="n"/>
      <c r="L629" s="9" t="n"/>
      <c r="M629" s="9" t="n"/>
      <c r="N629" s="9" t="n"/>
      <c r="O629" s="9" t="n"/>
    </row>
    <row r="630">
      <c r="A630" s="626" t="n"/>
      <c r="B630" s="626" t="n"/>
      <c r="C630" s="318" t="inlineStr">
        <is>
          <t>モード確認</t>
        </is>
      </c>
      <c r="D630" s="319" t="n"/>
      <c r="E630" s="324" t="n"/>
      <c r="F630" s="325" t="n"/>
      <c r="G630" s="325" t="n"/>
      <c r="H630" s="325" t="n"/>
      <c r="I630" s="325" t="n"/>
      <c r="J630" s="9" t="n"/>
      <c r="K630" s="9" t="n"/>
      <c r="L630" s="9" t="n"/>
      <c r="M630" s="9" t="n"/>
      <c r="N630" s="9" t="n"/>
      <c r="O630" s="9" t="n"/>
    </row>
    <row r="631">
      <c r="A631" s="756" t="inlineStr">
        <is>
          <t>濃縮汚泥掻寄機</t>
        </is>
      </c>
      <c r="B631" s="726" t="n"/>
      <c r="C631" s="341" t="inlineStr">
        <is>
          <t>電流値</t>
        </is>
      </c>
      <c r="D631" s="342" t="inlineStr">
        <is>
          <t>Ａ</t>
        </is>
      </c>
      <c r="E631" s="338" t="n"/>
      <c r="F631" s="339" t="n"/>
      <c r="G631" s="339" t="n"/>
      <c r="H631" s="339" t="n"/>
      <c r="I631" s="339" t="n"/>
      <c r="J631" s="9" t="n"/>
      <c r="K631" s="9" t="n"/>
      <c r="L631" s="9" t="n"/>
      <c r="M631" s="9" t="n"/>
      <c r="N631" s="9" t="n"/>
      <c r="O631" s="9" t="n"/>
    </row>
    <row r="632">
      <c r="A632" s="626" t="n"/>
      <c r="B632" s="626" t="n"/>
      <c r="C632" s="318" t="inlineStr">
        <is>
          <t>異音、振動</t>
        </is>
      </c>
      <c r="D632" s="319" t="n"/>
      <c r="E632" s="328" t="n"/>
      <c r="F632" s="329" t="n"/>
      <c r="G632" s="329" t="n"/>
      <c r="H632" s="329" t="n"/>
      <c r="I632" s="329" t="n"/>
      <c r="J632" s="9" t="n"/>
      <c r="K632" s="9" t="n"/>
      <c r="L632" s="9" t="n"/>
      <c r="M632" s="9" t="n"/>
      <c r="N632" s="9" t="n"/>
      <c r="O632" s="9" t="n"/>
    </row>
    <row r="633">
      <c r="A633" s="729" t="inlineStr">
        <is>
          <t>スカムスキマー</t>
        </is>
      </c>
      <c r="B633" s="726" t="n"/>
      <c r="C633" s="306" t="inlineStr">
        <is>
          <t>動作状況</t>
        </is>
      </c>
      <c r="D633" s="307" t="n"/>
      <c r="E633" s="308" t="n"/>
      <c r="F633" s="309" t="n"/>
      <c r="G633" s="309" t="n"/>
      <c r="H633" s="309" t="n"/>
      <c r="I633" s="309" t="n"/>
      <c r="J633" s="9" t="n"/>
      <c r="K633" s="9" t="n"/>
      <c r="L633" s="9" t="n"/>
      <c r="M633" s="9" t="n"/>
      <c r="N633" s="9" t="n"/>
      <c r="O633" s="9" t="n"/>
    </row>
    <row r="634">
      <c r="A634" s="741" t="inlineStr">
        <is>
          <t>汚泥供給ポンプ</t>
        </is>
      </c>
      <c r="B634" s="726" t="n">
        <v>1</v>
      </c>
      <c r="C634" s="310">
        <f>C628</f>
        <v/>
      </c>
      <c r="D634" s="734">
        <f>D628</f>
        <v/>
      </c>
      <c r="E634" s="332" t="n"/>
      <c r="F634" s="333" t="n"/>
      <c r="G634" s="333" t="n"/>
      <c r="H634" s="333" t="n"/>
      <c r="I634" s="333" t="n"/>
      <c r="J634" s="9" t="n"/>
      <c r="K634" s="9" t="n"/>
      <c r="L634" s="9" t="n"/>
      <c r="M634" s="9" t="n"/>
      <c r="N634" s="9" t="n"/>
      <c r="O634" s="9" t="n"/>
    </row>
    <row r="635">
      <c r="A635" s="679" t="n"/>
      <c r="B635" s="679" t="n"/>
      <c r="C635" s="314" t="inlineStr">
        <is>
          <t>異音、振動</t>
        </is>
      </c>
      <c r="D635" s="315" t="n"/>
      <c r="E635" s="316" t="n"/>
      <c r="F635" s="317" t="n"/>
      <c r="G635" s="317" t="n"/>
      <c r="H635" s="317" t="n"/>
      <c r="I635" s="317" t="n"/>
      <c r="J635" s="9" t="n"/>
      <c r="K635" s="9" t="n"/>
      <c r="L635" s="9" t="n"/>
      <c r="M635" s="9" t="n"/>
      <c r="N635" s="9" t="n"/>
      <c r="O635" s="9" t="n"/>
    </row>
    <row r="636">
      <c r="A636" s="679" t="n"/>
      <c r="B636" s="626" t="n"/>
      <c r="C636" s="318">
        <f>C603</f>
        <v/>
      </c>
      <c r="D636" s="319" t="n"/>
      <c r="E636" s="328" t="n"/>
      <c r="F636" s="329" t="n"/>
      <c r="G636" s="329" t="n"/>
      <c r="H636" s="329" t="n"/>
      <c r="I636" s="329" t="n"/>
      <c r="J636" s="9" t="n"/>
      <c r="K636" s="9" t="n"/>
      <c r="L636" s="9" t="n"/>
      <c r="M636" s="9" t="n"/>
      <c r="N636" s="9" t="n"/>
      <c r="O636" s="9" t="n"/>
    </row>
    <row r="637">
      <c r="A637" s="679" t="n"/>
      <c r="B637" s="726" t="n">
        <v>2</v>
      </c>
      <c r="C637" s="310">
        <f>C634</f>
        <v/>
      </c>
      <c r="D637" s="734">
        <f>D634</f>
        <v/>
      </c>
      <c r="E637" s="332" t="n"/>
      <c r="F637" s="333" t="n"/>
      <c r="G637" s="333" t="n"/>
      <c r="H637" s="333" t="n"/>
      <c r="I637" s="333" t="n"/>
      <c r="J637" s="9" t="n"/>
      <c r="K637" s="9" t="n"/>
      <c r="L637" s="9" t="n"/>
      <c r="M637" s="9" t="n"/>
      <c r="N637" s="9" t="n"/>
      <c r="O637" s="9" t="n"/>
    </row>
    <row r="638">
      <c r="A638" s="679" t="n"/>
      <c r="B638" s="679" t="n"/>
      <c r="C638" s="314">
        <f>C635</f>
        <v/>
      </c>
      <c r="D638" s="315" t="n"/>
      <c r="E638" s="316" t="n"/>
      <c r="F638" s="317" t="n"/>
      <c r="G638" s="317" t="n"/>
      <c r="H638" s="317" t="n"/>
      <c r="I638" s="317" t="n"/>
      <c r="J638" s="9" t="n"/>
      <c r="K638" s="9" t="n"/>
      <c r="L638" s="9" t="n"/>
      <c r="M638" s="9" t="n"/>
      <c r="N638" s="9" t="n"/>
      <c r="O638" s="9" t="n"/>
    </row>
    <row r="639">
      <c r="A639" s="626" t="n"/>
      <c r="B639" s="626" t="n"/>
      <c r="C639" s="318">
        <f>C636</f>
        <v/>
      </c>
      <c r="D639" s="319" t="n"/>
      <c r="E639" s="328" t="n"/>
      <c r="F639" s="329" t="n"/>
      <c r="G639" s="329" t="n"/>
      <c r="H639" s="329" t="n"/>
      <c r="I639" s="329" t="n"/>
      <c r="J639" s="9" t="n"/>
      <c r="K639" s="9" t="n"/>
      <c r="L639" s="9" t="n"/>
      <c r="M639" s="9" t="n"/>
      <c r="N639" s="9" t="n"/>
      <c r="O639" s="9" t="n"/>
    </row>
    <row r="640">
      <c r="A640" s="741" t="inlineStr">
        <is>
          <t>汚泥貯留槽攪拌機</t>
        </is>
      </c>
      <c r="B640" s="726" t="inlineStr">
        <is>
          <t>―</t>
        </is>
      </c>
      <c r="C640" s="310" t="inlineStr">
        <is>
          <t>電流値</t>
        </is>
      </c>
      <c r="D640" s="734" t="inlineStr">
        <is>
          <t>Ａ</t>
        </is>
      </c>
      <c r="E640" s="932" t="n"/>
      <c r="F640" s="333" t="n"/>
      <c r="G640" s="333" t="n"/>
      <c r="H640" s="333" t="n"/>
      <c r="I640" s="333" t="n"/>
      <c r="J640" s="9" t="n"/>
      <c r="K640" s="9" t="n"/>
      <c r="L640" s="9" t="n"/>
      <c r="M640" s="9" t="n"/>
      <c r="N640" s="9" t="n"/>
      <c r="O640" s="9" t="n"/>
    </row>
    <row r="641">
      <c r="A641" s="679" t="n"/>
      <c r="B641" s="679" t="n"/>
      <c r="C641" s="314">
        <f>C638</f>
        <v/>
      </c>
      <c r="D641" s="315" t="n"/>
      <c r="E641" s="316" t="n"/>
      <c r="F641" s="317" t="n"/>
      <c r="G641" s="317" t="n"/>
      <c r="H641" s="317" t="n"/>
      <c r="I641" s="317" t="n"/>
      <c r="J641" s="9" t="n"/>
      <c r="K641" s="9" t="n"/>
      <c r="L641" s="9" t="n"/>
      <c r="M641" s="9" t="n"/>
      <c r="N641" s="9" t="n"/>
      <c r="O641" s="9" t="n"/>
    </row>
    <row r="642">
      <c r="A642" s="626" t="n"/>
      <c r="B642" s="626" t="n"/>
      <c r="C642" s="318" t="inlineStr">
        <is>
          <t>モード確認</t>
        </is>
      </c>
      <c r="D642" s="319" t="n"/>
      <c r="E642" s="328" t="n"/>
      <c r="F642" s="329" t="n"/>
      <c r="G642" s="329" t="n"/>
      <c r="H642" s="329" t="n"/>
      <c r="I642" s="329" t="n"/>
      <c r="J642" s="9" t="n"/>
      <c r="K642" s="9" t="n"/>
      <c r="L642" s="9" t="n"/>
      <c r="M642" s="9" t="n"/>
      <c r="N642" s="9" t="n"/>
      <c r="O642" s="9" t="n"/>
    </row>
    <row r="643">
      <c r="A643" s="741" t="inlineStr">
        <is>
          <t>空気圧縮機</t>
        </is>
      </c>
      <c r="B643" s="726" t="inlineStr">
        <is>
          <t>―</t>
        </is>
      </c>
      <c r="C643" s="310" t="inlineStr">
        <is>
          <t>異音、振動等</t>
        </is>
      </c>
      <c r="D643" s="734" t="n"/>
      <c r="E643" s="326" t="n"/>
      <c r="F643" s="327" t="n"/>
      <c r="G643" s="327" t="n"/>
      <c r="H643" s="327" t="n"/>
      <c r="I643" s="327" t="n"/>
      <c r="J643" s="9" t="n"/>
      <c r="K643" s="9" t="n"/>
      <c r="L643" s="9" t="n"/>
      <c r="M643" s="9" t="n"/>
      <c r="N643" s="9" t="n"/>
      <c r="O643" s="9" t="n"/>
    </row>
    <row r="644">
      <c r="A644" s="626" t="n"/>
      <c r="B644" s="626" t="n"/>
      <c r="C644" s="334" t="inlineStr">
        <is>
          <t>安全弁等の動作確認</t>
        </is>
      </c>
      <c r="D644" s="335" t="n"/>
      <c r="E644" s="324" t="n"/>
      <c r="F644" s="325" t="n"/>
      <c r="G644" s="325" t="n"/>
      <c r="H644" s="325" t="n"/>
      <c r="I644" s="325" t="n"/>
      <c r="J644" s="9" t="n"/>
      <c r="K644" s="9" t="n"/>
      <c r="L644" s="9" t="n"/>
      <c r="M644" s="9" t="n"/>
      <c r="N644" s="9" t="n"/>
      <c r="O644" s="9" t="n"/>
    </row>
    <row r="645" ht="18" customHeight="1">
      <c r="A645" s="747" t="inlineStr">
        <is>
          <t xml:space="preserve">　○：良　　△：要注意　　×：要修理</t>
        </is>
      </c>
      <c r="B645" s="586" t="n"/>
      <c r="C645" s="586" t="n"/>
      <c r="D645" s="586" t="n"/>
      <c r="E645" s="586" t="n"/>
      <c r="F645" s="586" t="n"/>
      <c r="G645" s="586" t="n"/>
      <c r="H645" s="586" t="n"/>
      <c r="I645" s="586" t="n"/>
      <c r="J645" s="9" t="n"/>
      <c r="K645" s="9" t="n"/>
      <c r="L645" s="9" t="n"/>
      <c r="M645" s="9" t="n"/>
      <c r="N645" s="9" t="n"/>
      <c r="O645" s="9" t="n"/>
    </row>
    <row r="646">
      <c r="A646" s="353" t="n"/>
      <c r="B646" s="354" t="n"/>
      <c r="C646" s="353" t="n"/>
      <c r="D646" s="355" t="n"/>
      <c r="E646" s="356" t="n"/>
      <c r="F646" s="356" t="n"/>
      <c r="G646" s="356" t="n"/>
      <c r="H646" s="356" t="n"/>
      <c r="I646" s="356" t="n"/>
      <c r="J646" s="9" t="n"/>
      <c r="K646" s="9" t="n"/>
      <c r="L646" s="9" t="n"/>
      <c r="M646" s="9" t="n"/>
      <c r="N646" s="9" t="n"/>
      <c r="O646" s="9" t="n"/>
    </row>
    <row r="647">
      <c r="A647" s="357" t="n"/>
      <c r="B647" s="355" t="n"/>
      <c r="C647" s="357" t="n"/>
      <c r="D647" s="355" t="n"/>
      <c r="E647" s="356" t="n"/>
      <c r="F647" s="356" t="n"/>
      <c r="G647" s="356" t="n"/>
      <c r="H647" s="356" t="n"/>
      <c r="I647" s="356" t="n"/>
      <c r="J647" s="9" t="n"/>
      <c r="K647" s="9" t="n"/>
      <c r="L647" s="9" t="n"/>
      <c r="M647" s="9" t="n"/>
      <c r="N647" s="9" t="n"/>
      <c r="O647" s="9" t="n"/>
    </row>
    <row r="648" ht="22" customHeight="1">
      <c r="A648" s="299" t="inlineStr">
        <is>
          <t>機械設備日常点検表（３/３）</t>
        </is>
      </c>
      <c r="B648" s="594" t="n"/>
      <c r="C648" s="300" t="n"/>
      <c r="D648" s="594" t="n"/>
      <c r="E648" s="594" t="n"/>
      <c r="F648" s="594" t="n"/>
      <c r="G648" s="594" t="n"/>
      <c r="H648" s="300">
        <f>H532</f>
        <v/>
      </c>
      <c r="I648" s="594" t="n"/>
      <c r="J648" s="9" t="n"/>
      <c r="K648" s="9" t="n"/>
      <c r="L648" s="9" t="n"/>
      <c r="M648" s="9" t="n"/>
      <c r="N648" s="9" t="n"/>
      <c r="O648" s="9" t="n"/>
    </row>
    <row r="649" ht="18" customHeight="1">
      <c r="A649" s="726" t="inlineStr">
        <is>
          <t>機　器　名</t>
        </is>
      </c>
      <c r="B649" s="726" t="inlineStr">
        <is>
          <t>No</t>
        </is>
      </c>
      <c r="C649" s="726" t="inlineStr">
        <is>
          <t>点 検 者</t>
        </is>
      </c>
      <c r="D649" s="580" t="n"/>
      <c r="E649" s="302">
        <f>E533</f>
        <v/>
      </c>
      <c r="F649" s="726">
        <f>F533</f>
        <v/>
      </c>
      <c r="G649" s="726">
        <f>G533</f>
        <v/>
      </c>
      <c r="H649" s="726">
        <f>H533</f>
        <v/>
      </c>
      <c r="I649" s="726">
        <f>I533</f>
        <v/>
      </c>
      <c r="J649" s="9" t="n"/>
      <c r="K649" s="9" t="n"/>
      <c r="L649" s="9" t="n"/>
      <c r="M649" s="9" t="n"/>
      <c r="N649" s="9" t="n"/>
      <c r="O649" s="9" t="n"/>
    </row>
    <row r="650" ht="18" customHeight="1">
      <c r="A650" s="626" t="n"/>
      <c r="B650" s="626" t="n"/>
      <c r="C650" s="726" t="inlineStr">
        <is>
          <t>点検内容</t>
        </is>
      </c>
      <c r="D650" s="580" t="n"/>
      <c r="E650" s="930">
        <f>E534</f>
        <v/>
      </c>
      <c r="F650" s="931">
        <f>F534</f>
        <v/>
      </c>
      <c r="G650" s="931">
        <f>G534</f>
        <v/>
      </c>
      <c r="H650" s="931">
        <f>H534</f>
        <v/>
      </c>
      <c r="I650" s="931">
        <f>I534</f>
        <v/>
      </c>
      <c r="J650" s="9" t="n"/>
      <c r="K650" s="9" t="n"/>
      <c r="L650" s="9" t="n"/>
      <c r="M650" s="9" t="n"/>
      <c r="N650" s="9" t="n"/>
      <c r="O650" s="9" t="n"/>
    </row>
    <row r="651" ht="15" customHeight="1">
      <c r="A651" s="358" t="inlineStr">
        <is>
          <t>井水揚水ポンプ</t>
        </is>
      </c>
      <c r="B651" s="336" t="inlineStr">
        <is>
          <t>―</t>
        </is>
      </c>
      <c r="C651" s="330" t="inlineStr">
        <is>
          <t>異音、振動等</t>
        </is>
      </c>
      <c r="D651" s="331" t="n"/>
      <c r="E651" s="316" t="n"/>
      <c r="F651" s="317" t="n"/>
      <c r="G651" s="317" t="n"/>
      <c r="H651" s="317" t="n"/>
      <c r="I651" s="317" t="n"/>
      <c r="J651" s="9" t="n"/>
      <c r="K651" s="9" t="n"/>
      <c r="L651" s="9" t="n"/>
      <c r="M651" s="9" t="n"/>
      <c r="N651" s="9" t="n"/>
      <c r="O651" s="9" t="n"/>
    </row>
    <row r="652">
      <c r="A652" s="727" t="inlineStr">
        <is>
          <t>自動給水装置</t>
        </is>
      </c>
      <c r="B652" s="726" t="n">
        <v>1</v>
      </c>
      <c r="C652" s="310" t="inlineStr">
        <is>
          <t>電流値</t>
        </is>
      </c>
      <c r="D652" s="734" t="inlineStr">
        <is>
          <t>Ａ</t>
        </is>
      </c>
      <c r="E652" s="932" t="n"/>
      <c r="F652" s="933" t="n"/>
      <c r="G652" s="933" t="n"/>
      <c r="H652" s="933" t="n"/>
      <c r="I652" s="933" t="n"/>
      <c r="J652" s="9" t="n"/>
      <c r="K652" s="9" t="n"/>
      <c r="L652" s="9" t="n"/>
      <c r="M652" s="9" t="n"/>
      <c r="N652" s="9" t="n"/>
      <c r="O652" s="9" t="n"/>
    </row>
    <row r="653">
      <c r="A653" s="679" t="n"/>
      <c r="B653" s="626" t="n"/>
      <c r="C653" s="334" t="inlineStr">
        <is>
          <t>異音、振動等</t>
        </is>
      </c>
      <c r="D653" s="335" t="n"/>
      <c r="E653" s="324" t="n"/>
      <c r="F653" s="325" t="n"/>
      <c r="G653" s="325" t="n"/>
      <c r="H653" s="325" t="n"/>
      <c r="I653" s="325" t="n"/>
      <c r="J653" s="9" t="n"/>
      <c r="K653" s="9" t="n"/>
      <c r="L653" s="9" t="n"/>
      <c r="M653" s="9" t="n"/>
      <c r="N653" s="9" t="n"/>
      <c r="O653" s="9" t="n"/>
    </row>
    <row r="654">
      <c r="A654" s="679" t="n"/>
      <c r="B654" s="726" t="n">
        <v>2</v>
      </c>
      <c r="C654" s="310" t="inlineStr">
        <is>
          <t>電流値</t>
        </is>
      </c>
      <c r="D654" s="734" t="inlineStr">
        <is>
          <t>Ａ</t>
        </is>
      </c>
      <c r="E654" s="932" t="n"/>
      <c r="F654" s="933" t="n"/>
      <c r="G654" s="933" t="n"/>
      <c r="H654" s="933" t="n"/>
      <c r="I654" s="933" t="n"/>
      <c r="J654" s="9" t="n"/>
      <c r="K654" s="9" t="n"/>
      <c r="L654" s="9" t="n"/>
      <c r="M654" s="9" t="n"/>
      <c r="N654" s="9" t="n"/>
      <c r="O654" s="9" t="n"/>
    </row>
    <row r="655">
      <c r="A655" s="679" t="n"/>
      <c r="B655" s="626" t="n"/>
      <c r="C655" s="334" t="inlineStr">
        <is>
          <t>異音、振動等</t>
        </is>
      </c>
      <c r="D655" s="335" t="n"/>
      <c r="E655" s="324" t="n"/>
      <c r="F655" s="325" t="n"/>
      <c r="G655" s="325" t="n"/>
      <c r="H655" s="325" t="n"/>
      <c r="I655" s="325" t="n"/>
      <c r="J655" s="9" t="n"/>
      <c r="K655" s="9" t="n"/>
      <c r="L655" s="9" t="n"/>
      <c r="M655" s="9" t="n"/>
      <c r="N655" s="9" t="n"/>
      <c r="O655" s="9" t="n"/>
    </row>
    <row r="656">
      <c r="A656" s="626" t="n"/>
      <c r="B656" s="336" t="inlineStr">
        <is>
          <t>―</t>
        </is>
      </c>
      <c r="C656" s="310" t="inlineStr">
        <is>
          <t>モード確認</t>
        </is>
      </c>
      <c r="D656" s="734" t="n"/>
      <c r="E656" s="308" t="n"/>
      <c r="F656" s="309" t="n"/>
      <c r="G656" s="309" t="n"/>
      <c r="H656" s="309" t="n"/>
      <c r="I656" s="309" t="n"/>
      <c r="J656" s="9" t="n"/>
      <c r="K656" s="9" t="n"/>
      <c r="L656" s="9" t="n"/>
      <c r="M656" s="9" t="n"/>
      <c r="N656" s="9" t="n"/>
      <c r="O656" s="9" t="n"/>
    </row>
    <row r="657">
      <c r="A657" s="729" t="inlineStr">
        <is>
          <t>井水貯留槽</t>
        </is>
      </c>
      <c r="B657" s="726" t="inlineStr">
        <is>
          <t>―</t>
        </is>
      </c>
      <c r="C657" s="306" t="inlineStr">
        <is>
          <t>水漏れ</t>
        </is>
      </c>
      <c r="D657" s="307" t="n"/>
      <c r="E657" s="328" t="n"/>
      <c r="F657" s="329" t="n"/>
      <c r="G657" s="329" t="n"/>
      <c r="H657" s="329" t="n"/>
      <c r="I657" s="329" t="n"/>
      <c r="J657" s="9" t="n"/>
      <c r="K657" s="9" t="n"/>
      <c r="L657" s="9" t="n"/>
      <c r="M657" s="9" t="n"/>
      <c r="N657" s="9" t="n"/>
      <c r="O657" s="9" t="n"/>
    </row>
    <row r="658" ht="18" customHeight="1">
      <c r="A658" s="729" t="inlineStr">
        <is>
          <t>混和池ＢＧ</t>
        </is>
      </c>
      <c r="B658" s="726" t="inlineStr">
        <is>
          <t>―</t>
        </is>
      </c>
      <c r="C658" s="729" t="inlineStr">
        <is>
          <t>開閉</t>
        </is>
      </c>
      <c r="D658" s="580" t="n"/>
      <c r="E658" s="308" t="n"/>
      <c r="F658" s="309" t="n"/>
      <c r="G658" s="309" t="n"/>
      <c r="H658" s="309" t="n"/>
      <c r="I658" s="309" t="n"/>
      <c r="J658" s="9" t="n"/>
      <c r="K658" s="76" t="n"/>
      <c r="L658" s="76" t="n"/>
      <c r="M658" s="9" t="n"/>
      <c r="N658" s="9" t="n"/>
      <c r="O658" s="9" t="n"/>
    </row>
    <row r="659">
      <c r="A659" s="359" t="inlineStr">
        <is>
          <t>塩素接触装置</t>
        </is>
      </c>
      <c r="B659" s="726" t="inlineStr">
        <is>
          <t>―</t>
        </is>
      </c>
      <c r="C659" s="306" t="inlineStr">
        <is>
          <t>薬剤残量確認</t>
        </is>
      </c>
      <c r="D659" s="307" t="n"/>
      <c r="E659" s="322" t="n"/>
      <c r="F659" s="323" t="n"/>
      <c r="G659" s="323" t="n"/>
      <c r="H659" s="323" t="n"/>
      <c r="I659" s="323" t="n"/>
      <c r="J659" s="9" t="n"/>
      <c r="K659" s="9" t="n"/>
      <c r="L659" s="9" t="n"/>
      <c r="M659" s="9" t="n"/>
      <c r="N659" s="9" t="n"/>
      <c r="O659" s="9" t="n"/>
    </row>
    <row r="660" ht="18" customHeight="1">
      <c r="A660" s="727" t="inlineStr">
        <is>
          <t>臭気ガス吸引装置</t>
        </is>
      </c>
      <c r="B660" s="733" t="inlineStr">
        <is>
          <t>―</t>
        </is>
      </c>
      <c r="C660" s="735" t="inlineStr">
        <is>
          <t>ボルト・ナットの緩み</t>
        </is>
      </c>
      <c r="D660" s="736" t="n"/>
      <c r="E660" s="326" t="n"/>
      <c r="F660" s="327" t="n"/>
      <c r="G660" s="327" t="n"/>
      <c r="H660" s="327" t="n"/>
      <c r="I660" s="327" t="n"/>
      <c r="J660" s="9" t="n"/>
      <c r="K660" s="9" t="n"/>
      <c r="L660" s="9" t="n"/>
      <c r="M660" s="9" t="n"/>
      <c r="N660" s="9" t="n"/>
      <c r="O660" s="9" t="n"/>
    </row>
    <row r="661" ht="18" customHeight="1">
      <c r="A661" s="626" t="n"/>
      <c r="B661" s="626" t="n"/>
      <c r="C661" s="732" t="inlineStr">
        <is>
          <t>モード確認</t>
        </is>
      </c>
      <c r="D661" s="591" t="n"/>
      <c r="E661" s="328" t="n"/>
      <c r="F661" s="329" t="n"/>
      <c r="G661" s="329" t="n"/>
      <c r="H661" s="329" t="n"/>
      <c r="I661" s="329" t="n"/>
      <c r="J661" s="9" t="n"/>
      <c r="K661" s="76" t="n"/>
      <c r="L661" s="76" t="n"/>
      <c r="M661" s="76" t="n"/>
      <c r="N661" s="9" t="n"/>
      <c r="O661" s="9" t="n"/>
    </row>
    <row r="662" ht="18" customHeight="1">
      <c r="A662" s="729" t="inlineStr">
        <is>
          <t>吸着脱装置</t>
        </is>
      </c>
      <c r="B662" s="726" t="inlineStr">
        <is>
          <t>―</t>
        </is>
      </c>
      <c r="C662" s="751" t="inlineStr">
        <is>
          <t>マノメータ等の作動確認</t>
        </is>
      </c>
      <c r="D662" s="746" t="n"/>
      <c r="E662" s="332" t="n"/>
      <c r="F662" s="333" t="n"/>
      <c r="G662" s="333" t="n"/>
      <c r="H662" s="333" t="n"/>
      <c r="I662" s="333" t="n"/>
      <c r="J662" s="9" t="n"/>
      <c r="K662" s="9" t="n"/>
      <c r="L662" s="9" t="n"/>
      <c r="M662" s="9" t="n"/>
      <c r="N662" s="9" t="n"/>
      <c r="O662" s="9" t="n"/>
    </row>
    <row r="663" ht="18" customHeight="1">
      <c r="A663" s="626" t="n"/>
      <c r="B663" s="626" t="n"/>
      <c r="C663" s="730">
        <f>C660</f>
        <v/>
      </c>
      <c r="D663" s="731" t="n"/>
      <c r="E663" s="324" t="n"/>
      <c r="F663" s="325" t="n"/>
      <c r="G663" s="325" t="n"/>
      <c r="H663" s="325" t="n"/>
      <c r="I663" s="325" t="n"/>
      <c r="J663" s="9" t="n"/>
      <c r="K663" s="76" t="n"/>
      <c r="L663" s="76" t="n"/>
      <c r="M663" s="76" t="n"/>
      <c r="N663" s="9" t="n"/>
      <c r="O663" s="9" t="n"/>
    </row>
    <row r="664">
      <c r="A664" s="741" t="inlineStr">
        <is>
          <t>電気室給気ファン</t>
        </is>
      </c>
      <c r="B664" s="726" t="inlineStr">
        <is>
          <t>―</t>
        </is>
      </c>
      <c r="C664" s="360" t="inlineStr">
        <is>
          <t>電流値</t>
        </is>
      </c>
      <c r="D664" s="734" t="inlineStr">
        <is>
          <t>Ａ</t>
        </is>
      </c>
      <c r="E664" s="932" t="n"/>
      <c r="F664" s="933" t="n"/>
      <c r="G664" s="933" t="n"/>
      <c r="H664" s="933" t="n"/>
      <c r="I664" s="933" t="n"/>
      <c r="J664" s="9" t="n"/>
      <c r="K664" s="9" t="n"/>
      <c r="L664" s="9" t="n"/>
      <c r="M664" s="9" t="n"/>
      <c r="N664" s="9" t="n"/>
      <c r="O664" s="9" t="n"/>
    </row>
    <row r="665" ht="18" customHeight="1">
      <c r="A665" s="679" t="n"/>
      <c r="B665" s="679" t="n"/>
      <c r="C665" s="735" t="inlineStr">
        <is>
          <t>異音、振動等</t>
        </is>
      </c>
      <c r="D665" s="736" t="n"/>
      <c r="E665" s="316" t="n"/>
      <c r="F665" s="317" t="n"/>
      <c r="G665" s="317" t="n"/>
      <c r="H665" s="317" t="n"/>
      <c r="I665" s="317" t="n"/>
      <c r="J665" s="9" t="n"/>
      <c r="K665" s="9" t="n"/>
      <c r="L665" s="9" t="n"/>
      <c r="M665" s="9" t="n"/>
      <c r="N665" s="9" t="n"/>
      <c r="O665" s="9" t="n"/>
    </row>
    <row r="666" ht="18" customHeight="1">
      <c r="A666" s="626" t="n"/>
      <c r="B666" s="626" t="n"/>
      <c r="C666" s="732" t="inlineStr">
        <is>
          <t>モード確認</t>
        </is>
      </c>
      <c r="D666" s="591" t="n"/>
      <c r="E666" s="320" t="n"/>
      <c r="F666" s="321" t="n"/>
      <c r="G666" s="321" t="n"/>
      <c r="H666" s="321" t="n"/>
      <c r="I666" s="321" t="n"/>
      <c r="J666" s="9" t="n"/>
      <c r="K666" s="9" t="n"/>
      <c r="L666" s="9" t="n"/>
      <c r="M666" s="9" t="n"/>
      <c r="N666" s="9" t="n"/>
      <c r="O666" s="9" t="n"/>
    </row>
    <row r="667">
      <c r="A667" s="741" t="inlineStr">
        <is>
          <t>電気室排気ファン</t>
        </is>
      </c>
      <c r="B667" s="726" t="inlineStr">
        <is>
          <t>―</t>
        </is>
      </c>
      <c r="C667" s="360" t="inlineStr">
        <is>
          <t>電流値</t>
        </is>
      </c>
      <c r="D667" s="734" t="inlineStr">
        <is>
          <t>Ａ</t>
        </is>
      </c>
      <c r="E667" s="932" t="n"/>
      <c r="F667" s="933" t="n"/>
      <c r="G667" s="933" t="n"/>
      <c r="H667" s="933" t="n"/>
      <c r="I667" s="933" t="n"/>
      <c r="J667" s="9" t="n"/>
      <c r="K667" s="9" t="n"/>
      <c r="L667" s="9" t="n"/>
      <c r="M667" s="9" t="n"/>
      <c r="N667" s="9" t="n"/>
      <c r="O667" s="9" t="n"/>
    </row>
    <row r="668" ht="18" customHeight="1">
      <c r="A668" s="679" t="n"/>
      <c r="B668" s="679" t="n"/>
      <c r="C668" s="735" t="inlineStr">
        <is>
          <t>異音、振動等</t>
        </is>
      </c>
      <c r="D668" s="736" t="n"/>
      <c r="E668" s="316" t="n"/>
      <c r="F668" s="317" t="n"/>
      <c r="G668" s="317" t="n"/>
      <c r="H668" s="317" t="n"/>
      <c r="I668" s="317" t="n"/>
      <c r="J668" s="9" t="n"/>
      <c r="K668" s="9" t="n"/>
      <c r="L668" s="9" t="n"/>
      <c r="M668" s="9" t="n"/>
      <c r="N668" s="9" t="n"/>
      <c r="O668" s="9" t="n"/>
    </row>
    <row r="669" ht="18" customHeight="1">
      <c r="A669" s="626" t="n"/>
      <c r="B669" s="626" t="n"/>
      <c r="C669" s="732" t="inlineStr">
        <is>
          <t>モード確認</t>
        </is>
      </c>
      <c r="D669" s="591" t="n"/>
      <c r="E669" s="320" t="n"/>
      <c r="F669" s="321" t="n"/>
      <c r="G669" s="321" t="n"/>
      <c r="H669" s="321" t="n"/>
      <c r="I669" s="321" t="n"/>
      <c r="J669" s="9" t="n"/>
      <c r="K669" s="9" t="n"/>
      <c r="L669" s="9" t="n"/>
      <c r="M669" s="9" t="n"/>
      <c r="N669" s="9" t="n"/>
      <c r="O669" s="9" t="n"/>
    </row>
    <row r="670">
      <c r="A670" s="729" t="inlineStr">
        <is>
          <t>自家発室給気ファン</t>
        </is>
      </c>
      <c r="B670" s="726" t="inlineStr">
        <is>
          <t>―</t>
        </is>
      </c>
      <c r="C670" s="341" t="inlineStr">
        <is>
          <t>異音、振動</t>
        </is>
      </c>
      <c r="D670" s="342" t="n"/>
      <c r="E670" s="316" t="n"/>
      <c r="F670" s="317" t="n"/>
      <c r="G670" s="317" t="n"/>
      <c r="H670" s="317" t="n"/>
      <c r="I670" s="317" t="n"/>
      <c r="J670" s="9" t="n"/>
      <c r="K670" s="9" t="n"/>
      <c r="L670" s="9" t="n"/>
      <c r="M670" s="9" t="n"/>
      <c r="N670" s="9" t="n"/>
      <c r="O670" s="9" t="n"/>
    </row>
    <row r="671">
      <c r="A671" s="626" t="n"/>
      <c r="B671" s="626" t="n"/>
      <c r="C671" s="334" t="inlineStr">
        <is>
          <t>モード確認</t>
        </is>
      </c>
      <c r="D671" s="335" t="n"/>
      <c r="E671" s="322" t="n"/>
      <c r="F671" s="323" t="n"/>
      <c r="G671" s="323" t="n"/>
      <c r="H671" s="323" t="n"/>
      <c r="I671" s="323" t="n"/>
      <c r="J671" s="9" t="n"/>
      <c r="K671" s="76" t="n"/>
      <c r="L671" s="76" t="n"/>
      <c r="M671" s="9" t="n"/>
      <c r="N671" s="9" t="n"/>
      <c r="O671" s="9" t="n"/>
    </row>
    <row r="672">
      <c r="A672" s="727" t="inlineStr">
        <is>
          <t>汚泥ポンプ室排気  ファン</t>
        </is>
      </c>
      <c r="B672" s="726" t="inlineStr">
        <is>
          <t>―</t>
        </is>
      </c>
      <c r="C672" s="361" t="inlineStr">
        <is>
          <t>電流値</t>
        </is>
      </c>
      <c r="D672" s="331" t="inlineStr">
        <is>
          <t>Ａ</t>
        </is>
      </c>
      <c r="E672" s="932" t="n"/>
      <c r="F672" s="933" t="n"/>
      <c r="G672" s="933" t="n"/>
      <c r="H672" s="933" t="n"/>
      <c r="I672" s="933" t="n"/>
      <c r="J672" s="9" t="n"/>
      <c r="K672" s="76" t="n"/>
      <c r="L672" s="76" t="n"/>
      <c r="M672" s="9" t="n"/>
      <c r="N672" s="9" t="n"/>
      <c r="O672" s="9" t="n"/>
    </row>
    <row r="673" ht="13.5" customHeight="1">
      <c r="A673" s="679" t="n"/>
      <c r="B673" s="679" t="n"/>
      <c r="C673" s="314" t="inlineStr">
        <is>
          <t>異音、振動</t>
        </is>
      </c>
      <c r="D673" s="315" t="n"/>
      <c r="E673" s="316" t="n"/>
      <c r="F673" s="317" t="n"/>
      <c r="G673" s="317" t="n"/>
      <c r="H673" s="317" t="n"/>
      <c r="I673" s="317" t="n"/>
      <c r="J673" s="9" t="n"/>
      <c r="K673" s="9" t="n"/>
      <c r="L673" s="9" t="n"/>
      <c r="M673" s="9" t="n"/>
      <c r="N673" s="9" t="n"/>
      <c r="O673" s="9" t="n"/>
    </row>
    <row r="674">
      <c r="A674" s="626" t="n"/>
      <c r="B674" s="626" t="n"/>
      <c r="C674" s="362" t="inlineStr">
        <is>
          <t>モード確認</t>
        </is>
      </c>
      <c r="D674" s="363" t="n"/>
      <c r="E674" s="322" t="n"/>
      <c r="F674" s="323" t="n"/>
      <c r="G674" s="323" t="n"/>
      <c r="H674" s="323" t="n"/>
      <c r="I674" s="323" t="n"/>
      <c r="J674" s="9" t="n"/>
      <c r="K674" s="9" t="n"/>
      <c r="L674" s="9" t="n"/>
      <c r="M674" s="9" t="n"/>
      <c r="N674" s="9" t="n"/>
      <c r="O674" s="9" t="n"/>
    </row>
    <row r="675">
      <c r="A675" s="727" t="inlineStr">
        <is>
          <t>汚泥ポンプ室吸気ファン</t>
        </is>
      </c>
      <c r="B675" s="733" t="inlineStr">
        <is>
          <t>―</t>
        </is>
      </c>
      <c r="C675" s="364" t="inlineStr">
        <is>
          <t>電流値</t>
        </is>
      </c>
      <c r="D675" s="342" t="inlineStr">
        <is>
          <t>Ａ</t>
        </is>
      </c>
      <c r="E675" s="934" t="n"/>
      <c r="F675" s="935" t="n"/>
      <c r="G675" s="935" t="n"/>
      <c r="H675" s="935" t="n"/>
      <c r="I675" s="935" t="n"/>
      <c r="J675" s="9" t="n"/>
      <c r="K675" s="9" t="n"/>
      <c r="L675" s="9" t="n"/>
      <c r="M675" s="9" t="n"/>
      <c r="N675" s="9" t="n"/>
      <c r="O675" s="9" t="n"/>
    </row>
    <row r="676" ht="13.5" customHeight="1">
      <c r="A676" s="679" t="n"/>
      <c r="B676" s="679" t="n"/>
      <c r="C676" s="365" t="inlineStr">
        <is>
          <t>異音、振動</t>
        </is>
      </c>
      <c r="D676" s="366" t="n"/>
      <c r="E676" s="367" t="n"/>
      <c r="F676" s="368" t="n"/>
      <c r="G676" s="368" t="n"/>
      <c r="H676" s="368" t="n"/>
      <c r="I676" s="368" t="n"/>
      <c r="J676" s="9" t="n"/>
      <c r="K676" s="9" t="n"/>
      <c r="L676" s="9" t="n"/>
      <c r="M676" s="9" t="n"/>
      <c r="N676" s="9" t="n"/>
      <c r="O676" s="9" t="n"/>
    </row>
    <row r="677">
      <c r="A677" s="626" t="n"/>
      <c r="B677" s="626" t="n"/>
      <c r="C677" s="362" t="inlineStr">
        <is>
          <t>モード確認</t>
        </is>
      </c>
      <c r="D677" s="363" t="n"/>
      <c r="E677" s="322" t="n"/>
      <c r="F677" s="323" t="n"/>
      <c r="G677" s="323" t="n"/>
      <c r="H677" s="323" t="n"/>
      <c r="I677" s="323" t="n"/>
      <c r="J677" s="9" t="n"/>
      <c r="K677" s="9" t="n"/>
      <c r="L677" s="9" t="n"/>
      <c r="M677" s="9" t="n"/>
      <c r="N677" s="9" t="n"/>
      <c r="O677" s="9" t="n"/>
    </row>
    <row r="678">
      <c r="A678" s="727" t="inlineStr">
        <is>
          <t>脱水作業室排気ファン</t>
        </is>
      </c>
      <c r="B678" s="726" t="inlineStr">
        <is>
          <t>―</t>
        </is>
      </c>
      <c r="C678" s="364" t="inlineStr">
        <is>
          <t>電流値</t>
        </is>
      </c>
      <c r="D678" s="342" t="inlineStr">
        <is>
          <t>Ａ</t>
        </is>
      </c>
      <c r="E678" s="934" t="n"/>
      <c r="F678" s="935" t="n"/>
      <c r="G678" s="935" t="n"/>
      <c r="H678" s="935" t="n"/>
      <c r="I678" s="935" t="n"/>
      <c r="J678" s="9" t="n"/>
      <c r="K678" s="9" t="n"/>
      <c r="L678" s="9" t="n"/>
      <c r="M678" s="9" t="n"/>
      <c r="N678" s="9" t="n"/>
      <c r="O678" s="9" t="n"/>
    </row>
    <row r="679" ht="13.5" customHeight="1">
      <c r="A679" s="679" t="n"/>
      <c r="B679" s="679" t="n"/>
      <c r="C679" s="365" t="inlineStr">
        <is>
          <t>異音、振動</t>
        </is>
      </c>
      <c r="D679" s="366" t="n"/>
      <c r="E679" s="367" t="n"/>
      <c r="F679" s="368" t="n"/>
      <c r="G679" s="368" t="n"/>
      <c r="H679" s="368" t="n"/>
      <c r="I679" s="368" t="n"/>
      <c r="J679" s="9" t="n"/>
      <c r="K679" s="9" t="n"/>
      <c r="L679" s="9" t="n"/>
      <c r="M679" s="9" t="n"/>
      <c r="N679" s="9" t="n"/>
      <c r="O679" s="9" t="n"/>
    </row>
    <row r="680">
      <c r="A680" s="626" t="n"/>
      <c r="B680" s="626" t="n"/>
      <c r="C680" s="334" t="inlineStr">
        <is>
          <t>モード確認</t>
        </is>
      </c>
      <c r="D680" s="335" t="n"/>
      <c r="E680" s="322" t="n"/>
      <c r="F680" s="323" t="n"/>
      <c r="G680" s="323" t="n"/>
      <c r="H680" s="323" t="n"/>
      <c r="I680" s="323" t="n"/>
      <c r="J680" s="9" t="n"/>
      <c r="K680" s="9" t="n"/>
      <c r="L680" s="9" t="n"/>
      <c r="M680" s="9" t="n"/>
      <c r="N680" s="9" t="n"/>
      <c r="O680" s="9" t="n"/>
    </row>
    <row r="681" ht="13.5" customHeight="1">
      <c r="A681" s="727" t="inlineStr">
        <is>
          <t>脱水作業室吸気ファン</t>
        </is>
      </c>
      <c r="B681" s="726" t="inlineStr">
        <is>
          <t>―</t>
        </is>
      </c>
      <c r="C681" s="364" t="inlineStr">
        <is>
          <t>電流値</t>
        </is>
      </c>
      <c r="D681" s="342" t="inlineStr">
        <is>
          <t>Ａ</t>
        </is>
      </c>
      <c r="E681" s="934" t="n"/>
      <c r="F681" s="935" t="n"/>
      <c r="G681" s="935" t="n"/>
      <c r="H681" s="935" t="n"/>
      <c r="I681" s="935" t="n"/>
      <c r="J681" s="9" t="n"/>
      <c r="K681" s="9" t="n"/>
      <c r="L681" s="9" t="n"/>
      <c r="M681" s="9" t="n"/>
      <c r="N681" s="9" t="n"/>
      <c r="O681" s="9" t="n"/>
    </row>
    <row r="682" ht="13.5" customHeight="1">
      <c r="A682" s="679" t="n"/>
      <c r="B682" s="679" t="n"/>
      <c r="C682" s="365" t="inlineStr">
        <is>
          <t>異音、振動</t>
        </is>
      </c>
      <c r="D682" s="366" t="n"/>
      <c r="E682" s="367" t="n"/>
      <c r="F682" s="368" t="n"/>
      <c r="G682" s="368" t="n"/>
      <c r="H682" s="368" t="n"/>
      <c r="I682" s="368" t="n"/>
      <c r="J682" s="9" t="n"/>
      <c r="K682" s="9" t="n"/>
      <c r="L682" s="9" t="n"/>
      <c r="M682" s="9" t="n"/>
      <c r="N682" s="9" t="n"/>
      <c r="O682" s="9" t="n"/>
    </row>
    <row r="683">
      <c r="A683" s="626" t="n"/>
      <c r="B683" s="626" t="n"/>
      <c r="C683" s="334" t="inlineStr">
        <is>
          <t>モード確認</t>
        </is>
      </c>
      <c r="D683" s="335" t="n"/>
      <c r="E683" s="322" t="n"/>
      <c r="F683" s="323" t="n"/>
      <c r="G683" s="323" t="n"/>
      <c r="H683" s="323" t="n"/>
      <c r="I683" s="323" t="n"/>
      <c r="J683" s="9" t="n"/>
      <c r="K683" s="9" t="n"/>
      <c r="L683" s="9" t="n"/>
      <c r="M683" s="9" t="n"/>
      <c r="N683" s="9" t="n"/>
      <c r="O683" s="9" t="n"/>
    </row>
    <row r="684">
      <c r="A684" s="727" t="inlineStr">
        <is>
          <t>脱臭機械室排気ファン</t>
        </is>
      </c>
      <c r="B684" s="726" t="inlineStr">
        <is>
          <t>―</t>
        </is>
      </c>
      <c r="C684" s="364" t="inlineStr">
        <is>
          <t>電流値</t>
        </is>
      </c>
      <c r="D684" s="342" t="inlineStr">
        <is>
          <t>Ａ</t>
        </is>
      </c>
      <c r="E684" s="934" t="n"/>
      <c r="F684" s="935" t="n"/>
      <c r="G684" s="935" t="n"/>
      <c r="H684" s="935" t="n"/>
      <c r="I684" s="935" t="n"/>
      <c r="J684" s="9" t="n"/>
      <c r="K684" s="9" t="n"/>
      <c r="L684" s="9" t="n"/>
      <c r="M684" s="9" t="n"/>
      <c r="N684" s="9" t="n"/>
      <c r="O684" s="9" t="n"/>
    </row>
    <row r="685" ht="13.5" customHeight="1">
      <c r="A685" s="679" t="n"/>
      <c r="B685" s="679" t="n"/>
      <c r="C685" s="365" t="inlineStr">
        <is>
          <t>異音、振動</t>
        </is>
      </c>
      <c r="D685" s="366" t="n"/>
      <c r="E685" s="367" t="n"/>
      <c r="F685" s="368" t="n"/>
      <c r="G685" s="368" t="n"/>
      <c r="H685" s="368" t="n"/>
      <c r="I685" s="368" t="n"/>
      <c r="J685" s="9" t="n"/>
      <c r="K685" s="9" t="n"/>
      <c r="L685" s="9" t="n"/>
      <c r="M685" s="9" t="n"/>
      <c r="N685" s="9" t="n"/>
      <c r="O685" s="9" t="n"/>
    </row>
    <row r="686">
      <c r="A686" s="626" t="n"/>
      <c r="B686" s="626" t="n"/>
      <c r="C686" s="334" t="inlineStr">
        <is>
          <t>モード確認</t>
        </is>
      </c>
      <c r="D686" s="335" t="n"/>
      <c r="E686" s="322" t="n"/>
      <c r="F686" s="323" t="n"/>
      <c r="G686" s="323" t="n"/>
      <c r="H686" s="323" t="n"/>
      <c r="I686" s="323" t="n"/>
      <c r="J686" s="9" t="n"/>
      <c r="K686" s="9" t="n"/>
      <c r="L686" s="9" t="n"/>
      <c r="M686" s="9" t="n"/>
      <c r="N686" s="9" t="n"/>
      <c r="O686" s="9" t="n"/>
    </row>
    <row r="687">
      <c r="A687" s="727" t="inlineStr">
        <is>
          <t>脱臭機械室吸気ファン</t>
        </is>
      </c>
      <c r="B687" s="726" t="inlineStr">
        <is>
          <t>―</t>
        </is>
      </c>
      <c r="C687" s="364" t="inlineStr">
        <is>
          <t>電流値</t>
        </is>
      </c>
      <c r="D687" s="342" t="inlineStr">
        <is>
          <t>Ａ</t>
        </is>
      </c>
      <c r="E687" s="934" t="n"/>
      <c r="F687" s="935" t="n"/>
      <c r="G687" s="935" t="n"/>
      <c r="H687" s="935" t="n"/>
      <c r="I687" s="935" t="n"/>
      <c r="J687" s="9" t="n"/>
      <c r="K687" s="9" t="n"/>
      <c r="L687" s="9" t="n"/>
      <c r="M687" s="9" t="n"/>
      <c r="N687" s="9" t="n"/>
      <c r="O687" s="9" t="n"/>
    </row>
    <row r="688" ht="13.5" customHeight="1">
      <c r="A688" s="679" t="n"/>
      <c r="B688" s="679" t="n"/>
      <c r="C688" s="365" t="inlineStr">
        <is>
          <t>異音、振動</t>
        </is>
      </c>
      <c r="D688" s="366" t="n"/>
      <c r="E688" s="367" t="n"/>
      <c r="F688" s="368" t="n"/>
      <c r="G688" s="368" t="n"/>
      <c r="H688" s="368" t="n"/>
      <c r="I688" s="368" t="n"/>
      <c r="J688" s="9" t="n"/>
      <c r="K688" s="9" t="n"/>
      <c r="L688" s="9" t="n"/>
      <c r="M688" s="9" t="n"/>
      <c r="N688" s="9" t="n"/>
      <c r="O688" s="9" t="n"/>
    </row>
    <row r="689">
      <c r="A689" s="626" t="n"/>
      <c r="B689" s="626" t="n"/>
      <c r="C689" s="334" t="inlineStr">
        <is>
          <t>モード確認</t>
        </is>
      </c>
      <c r="D689" s="335" t="n"/>
      <c r="E689" s="324" t="n"/>
      <c r="F689" s="325" t="n"/>
      <c r="G689" s="325" t="n"/>
      <c r="H689" s="325" t="n"/>
      <c r="I689" s="325" t="n"/>
      <c r="J689" s="9" t="n"/>
      <c r="K689" s="9" t="n"/>
      <c r="L689" s="9" t="n"/>
      <c r="M689" s="9" t="n"/>
      <c r="N689" s="9" t="n"/>
      <c r="O689" s="9" t="n"/>
    </row>
    <row r="690">
      <c r="A690" s="748" t="inlineStr">
        <is>
          <t>終沈ポンプ室排気ファン</t>
        </is>
      </c>
      <c r="B690" s="726" t="inlineStr">
        <is>
          <t>―</t>
        </is>
      </c>
      <c r="C690" s="364" t="inlineStr">
        <is>
          <t>電流値</t>
        </is>
      </c>
      <c r="D690" s="342" t="inlineStr">
        <is>
          <t>Ａ</t>
        </is>
      </c>
      <c r="E690" s="934" t="n"/>
      <c r="F690" s="935" t="n"/>
      <c r="G690" s="935" t="n"/>
      <c r="H690" s="935" t="n"/>
      <c r="I690" s="935" t="n"/>
      <c r="J690" s="9" t="n"/>
      <c r="K690" s="9" t="n"/>
      <c r="L690" s="9" t="n"/>
      <c r="M690" s="9" t="n"/>
      <c r="N690" s="9" t="n"/>
      <c r="O690" s="9" t="n"/>
    </row>
    <row r="691" ht="13.5" customHeight="1">
      <c r="A691" s="679" t="n"/>
      <c r="B691" s="679" t="n"/>
      <c r="C691" s="330" t="inlineStr">
        <is>
          <t>異音、振動</t>
        </is>
      </c>
      <c r="D691" s="331" t="n"/>
      <c r="E691" s="328" t="n"/>
      <c r="F691" s="329" t="n"/>
      <c r="G691" s="329" t="n"/>
      <c r="H691" s="329" t="n"/>
      <c r="I691" s="329" t="n"/>
      <c r="J691" s="9" t="n"/>
      <c r="K691" s="9" t="n"/>
      <c r="L691" s="9" t="n"/>
      <c r="M691" s="9" t="n"/>
      <c r="N691" s="9" t="n"/>
      <c r="O691" s="9" t="n"/>
    </row>
    <row r="692">
      <c r="A692" s="626" t="n"/>
      <c r="B692" s="626" t="n"/>
      <c r="C692" s="334" t="inlineStr">
        <is>
          <t>モード確認</t>
        </is>
      </c>
      <c r="D692" s="335" t="n"/>
      <c r="E692" s="324" t="n"/>
      <c r="F692" s="325" t="n"/>
      <c r="G692" s="325" t="n"/>
      <c r="H692" s="325" t="n"/>
      <c r="I692" s="325" t="n"/>
      <c r="J692" s="9" t="n"/>
      <c r="K692" s="9" t="n"/>
      <c r="L692" s="9" t="n"/>
      <c r="M692" s="9" t="n"/>
      <c r="N692" s="9" t="n"/>
      <c r="O692" s="9" t="n"/>
    </row>
    <row r="693">
      <c r="A693" s="727" t="inlineStr">
        <is>
          <t>終沈ポンプ室吸気ファン</t>
        </is>
      </c>
      <c r="B693" s="726" t="inlineStr">
        <is>
          <t>―</t>
        </is>
      </c>
      <c r="C693" s="364" t="inlineStr">
        <is>
          <t>電流値</t>
        </is>
      </c>
      <c r="D693" s="342" t="inlineStr">
        <is>
          <t>Ａ</t>
        </is>
      </c>
      <c r="E693" s="934" t="n"/>
      <c r="F693" s="935" t="n"/>
      <c r="G693" s="935" t="n"/>
      <c r="H693" s="935" t="n"/>
      <c r="I693" s="935" t="n"/>
      <c r="J693" s="9" t="n"/>
      <c r="K693" s="9" t="n"/>
      <c r="L693" s="9" t="n"/>
      <c r="M693" s="9" t="n"/>
      <c r="N693" s="9" t="n"/>
      <c r="O693" s="9" t="n"/>
    </row>
    <row r="694" ht="13.5" customHeight="1">
      <c r="A694" s="679" t="n"/>
      <c r="B694" s="679" t="n"/>
      <c r="C694" s="330" t="inlineStr">
        <is>
          <t>異音、振動</t>
        </is>
      </c>
      <c r="D694" s="331" t="n"/>
      <c r="E694" s="328" t="n"/>
      <c r="F694" s="329" t="n"/>
      <c r="G694" s="329" t="n"/>
      <c r="H694" s="329" t="n"/>
      <c r="I694" s="329" t="n"/>
      <c r="J694" s="9" t="n"/>
      <c r="K694" s="9" t="n"/>
      <c r="L694" s="9" t="n"/>
      <c r="M694" s="9" t="n"/>
      <c r="N694" s="9" t="n"/>
      <c r="O694" s="9" t="n"/>
    </row>
    <row r="695">
      <c r="A695" s="626" t="n"/>
      <c r="B695" s="626" t="n"/>
      <c r="C695" s="334" t="inlineStr">
        <is>
          <t>モード確認</t>
        </is>
      </c>
      <c r="D695" s="335" t="n"/>
      <c r="E695" s="324" t="n"/>
      <c r="F695" s="325" t="n"/>
      <c r="G695" s="325" t="n"/>
      <c r="H695" s="325" t="n"/>
      <c r="I695" s="325" t="n"/>
      <c r="J695" s="9" t="n"/>
      <c r="K695" s="9" t="n"/>
      <c r="L695" s="9" t="n"/>
      <c r="M695" s="9" t="n"/>
      <c r="N695" s="9" t="n"/>
      <c r="O695" s="9" t="n"/>
    </row>
    <row r="696" ht="13.5" customHeight="1">
      <c r="A696" s="727" t="inlineStr">
        <is>
          <t>自動巻取型エア     フィルター</t>
        </is>
      </c>
      <c r="B696" s="750" t="inlineStr">
        <is>
          <t>―</t>
        </is>
      </c>
      <c r="C696" s="753" t="inlineStr">
        <is>
          <t>巻取完了表示点灯確認</t>
        </is>
      </c>
      <c r="D696" s="587" t="n"/>
      <c r="E696" s="332" t="n"/>
      <c r="F696" s="333" t="n"/>
      <c r="G696" s="333" t="n"/>
      <c r="H696" s="333" t="n"/>
      <c r="I696" s="333" t="n"/>
      <c r="J696" s="9" t="n"/>
      <c r="K696" s="9" t="n"/>
      <c r="L696" s="9" t="n"/>
      <c r="M696" s="9" t="n"/>
      <c r="N696" s="9" t="n"/>
      <c r="O696" s="9" t="n"/>
    </row>
    <row r="697">
      <c r="A697" s="679" t="n"/>
      <c r="C697" s="314" t="inlineStr">
        <is>
          <t>差圧</t>
        </is>
      </c>
      <c r="D697" s="315" t="inlineStr">
        <is>
          <t>Pa</t>
        </is>
      </c>
      <c r="E697" s="316" t="n"/>
      <c r="F697" s="317" t="n"/>
      <c r="G697" s="317" t="n"/>
      <c r="H697" s="317" t="n"/>
      <c r="I697" s="317" t="n"/>
      <c r="J697" s="9" t="n"/>
      <c r="K697" s="9" t="n"/>
      <c r="L697" s="9" t="n"/>
      <c r="M697" s="9" t="n"/>
      <c r="N697" s="9" t="n"/>
      <c r="O697" s="9" t="n"/>
    </row>
    <row r="698">
      <c r="A698" s="679" t="n"/>
      <c r="C698" s="314" t="inlineStr">
        <is>
          <t>モード確認</t>
        </is>
      </c>
      <c r="D698" s="315" t="n"/>
      <c r="E698" s="328" t="n"/>
      <c r="F698" s="329" t="n"/>
      <c r="G698" s="329" t="n"/>
      <c r="H698" s="329" t="n"/>
      <c r="I698" s="329" t="n"/>
      <c r="J698" s="9" t="n"/>
      <c r="K698" s="76" t="n"/>
      <c r="L698" s="76" t="n"/>
      <c r="M698" s="76" t="n"/>
      <c r="N698" s="9" t="n"/>
      <c r="O698" s="9" t="n"/>
    </row>
    <row r="699">
      <c r="A699" s="626" t="n"/>
      <c r="B699" s="598" t="n"/>
      <c r="C699" s="318" t="inlineStr">
        <is>
          <t>設定</t>
        </is>
      </c>
      <c r="D699" s="319" t="n"/>
      <c r="E699" s="324" t="n"/>
      <c r="F699" s="325" t="n"/>
      <c r="G699" s="325" t="n"/>
      <c r="H699" s="325" t="n"/>
      <c r="I699" s="325" t="n"/>
      <c r="J699" s="9" t="n"/>
      <c r="K699" s="369" t="n"/>
      <c r="L699" s="76" t="n"/>
      <c r="M699" s="9" t="n"/>
      <c r="N699" s="9" t="n"/>
      <c r="O699" s="9" t="n"/>
    </row>
    <row r="700" ht="18" customHeight="1">
      <c r="A700" s="370" t="inlineStr">
        <is>
          <t>備　　　考</t>
        </is>
      </c>
      <c r="B700" s="734" t="n"/>
      <c r="C700" s="586" t="n"/>
      <c r="D700" s="586" t="n"/>
      <c r="E700" s="586" t="n"/>
      <c r="F700" s="586" t="n"/>
      <c r="G700" s="586" t="n"/>
      <c r="H700" s="586" t="n"/>
      <c r="I700" s="587" t="n"/>
      <c r="J700" s="9" t="n"/>
      <c r="K700" s="9" t="n"/>
      <c r="L700" s="9" t="n"/>
      <c r="M700" s="9" t="n"/>
      <c r="N700" s="9" t="n"/>
      <c r="O700" s="9" t="n"/>
    </row>
    <row r="701">
      <c r="A701" s="752" t="n"/>
      <c r="D701" s="357" t="n"/>
      <c r="E701" s="371" t="n"/>
      <c r="F701" s="372" t="n"/>
      <c r="G701" s="372" t="n"/>
      <c r="H701" s="372" t="n"/>
      <c r="I701" s="373" t="n"/>
      <c r="J701" s="9" t="n"/>
      <c r="K701" s="9" t="n"/>
      <c r="L701" s="9" t="n"/>
      <c r="M701" s="9" t="n"/>
      <c r="N701" s="9" t="n"/>
      <c r="O701" s="9" t="n"/>
    </row>
    <row r="702">
      <c r="A702" s="737" t="n"/>
      <c r="F702" s="372" t="n"/>
      <c r="G702" s="372" t="n"/>
      <c r="H702" s="372" t="n"/>
      <c r="I702" s="373" t="n"/>
      <c r="J702" s="9" t="n"/>
      <c r="K702" s="9" t="n"/>
      <c r="L702" s="9" t="n"/>
      <c r="M702" s="9" t="n"/>
      <c r="N702" s="9" t="n"/>
      <c r="O702" s="9" t="n"/>
    </row>
    <row r="703">
      <c r="A703" s="405" t="n"/>
      <c r="B703" s="406" t="n"/>
      <c r="C703" s="406" t="n"/>
      <c r="D703" s="406" t="n"/>
      <c r="E703" s="407" t="n"/>
      <c r="F703" s="372" t="n"/>
      <c r="G703" s="372" t="n"/>
      <c r="H703" s="372" t="n"/>
      <c r="I703" s="373" t="n"/>
      <c r="J703" s="9" t="n"/>
      <c r="K703" s="9" t="n"/>
      <c r="L703" s="9" t="n"/>
      <c r="M703" s="9" t="n"/>
      <c r="N703" s="9" t="n"/>
      <c r="O703" s="9" t="n"/>
    </row>
    <row r="704">
      <c r="A704" s="374" t="n"/>
      <c r="B704" s="375" t="n"/>
      <c r="C704" s="375" t="n"/>
      <c r="D704" s="375" t="n"/>
      <c r="E704" s="372" t="n"/>
      <c r="F704" s="372" t="n"/>
      <c r="G704" s="372" t="n"/>
      <c r="H704" s="372" t="n"/>
      <c r="I704" s="373" t="n"/>
      <c r="J704" s="9" t="n"/>
      <c r="K704" s="9" t="n"/>
      <c r="L704" s="9" t="n"/>
      <c r="M704" s="9" t="n"/>
      <c r="N704" s="9" t="n"/>
      <c r="O704" s="9" t="n"/>
    </row>
    <row r="705">
      <c r="A705" s="374" t="n"/>
      <c r="B705" s="375" t="n"/>
      <c r="C705" s="375" t="n"/>
      <c r="D705" s="375" t="n"/>
      <c r="E705" s="372" t="n"/>
      <c r="F705" s="372" t="n"/>
      <c r="G705" s="372" t="n"/>
      <c r="H705" s="372" t="n"/>
      <c r="I705" s="373" t="n"/>
      <c r="J705" s="9" t="n"/>
      <c r="K705" s="9" t="n"/>
      <c r="L705" s="9" t="n"/>
      <c r="M705" s="9" t="n"/>
      <c r="N705" s="9" t="n"/>
      <c r="O705" s="9" t="n"/>
    </row>
    <row r="706">
      <c r="A706" s="374" t="n"/>
      <c r="B706" s="375" t="n"/>
      <c r="C706" s="375" t="n"/>
      <c r="D706" s="375" t="n"/>
      <c r="E706" s="372" t="n"/>
      <c r="F706" s="372" t="n"/>
      <c r="G706" s="372" t="n"/>
      <c r="H706" s="372" t="n"/>
      <c r="I706" s="373" t="n"/>
      <c r="J706" s="9" t="n"/>
      <c r="K706" s="9" t="n"/>
      <c r="L706" s="9" t="n"/>
      <c r="M706" s="9" t="n"/>
      <c r="N706" s="9" t="n"/>
      <c r="O706" s="9" t="n"/>
    </row>
    <row r="707" ht="18" customHeight="1">
      <c r="A707" s="747" t="inlineStr">
        <is>
          <t xml:space="preserve">　○：良　　△：要注意　　×：要修理</t>
        </is>
      </c>
      <c r="B707" s="586" t="n"/>
      <c r="C707" s="586" t="n"/>
      <c r="D707" s="586" t="n"/>
      <c r="E707" s="586" t="n"/>
      <c r="F707" s="586" t="n"/>
      <c r="G707" s="586" t="n"/>
      <c r="H707" s="586" t="n"/>
      <c r="I707" s="586" t="n"/>
      <c r="J707" s="9" t="n"/>
      <c r="K707" s="9" t="n"/>
      <c r="L707" s="9" t="n"/>
      <c r="M707" s="9" t="n"/>
      <c r="N707" s="9" t="n"/>
      <c r="O707" s="9" t="n"/>
    </row>
    <row r="708" ht="22" customHeight="1">
      <c r="A708" s="299" t="inlineStr">
        <is>
          <t xml:space="preserve">　機械設備日常点検表（１/３）</t>
        </is>
      </c>
      <c r="B708" s="390" t="n"/>
      <c r="C708" s="300" t="n"/>
      <c r="D708" s="594" t="n"/>
      <c r="E708" s="594" t="n"/>
      <c r="F708" s="594" t="n"/>
      <c r="G708" s="594" t="n"/>
      <c r="H708" s="300">
        <f>H1</f>
        <v/>
      </c>
      <c r="I708" s="594" t="n"/>
      <c r="J708" s="9" t="n"/>
      <c r="K708" s="9" t="n"/>
      <c r="L708" s="9" t="n"/>
      <c r="M708" s="9" t="n"/>
      <c r="N708" s="9" t="n"/>
      <c r="O708" s="9" t="n"/>
    </row>
    <row r="709" ht="18" customHeight="1">
      <c r="A709" s="726" t="inlineStr">
        <is>
          <t>機　器　名</t>
        </is>
      </c>
      <c r="B709" s="726" t="inlineStr">
        <is>
          <t>No</t>
        </is>
      </c>
      <c r="C709" s="726" t="inlineStr">
        <is>
          <t>点 検 者</t>
        </is>
      </c>
      <c r="D709" s="580" t="n"/>
      <c r="E709" s="726" t="inlineStr">
        <is>
          <t>山根　悠貴</t>
        </is>
      </c>
      <c r="F709" s="726" t="inlineStr">
        <is>
          <t>山根　悠貴</t>
        </is>
      </c>
      <c r="G709" s="726" t="n"/>
      <c r="H709" s="726" t="n"/>
      <c r="I709" s="726" t="n"/>
      <c r="J709" s="9" t="n"/>
      <c r="K709" s="9" t="n"/>
      <c r="L709" s="9" t="n"/>
      <c r="M709" s="9" t="n"/>
      <c r="N709" s="9" t="n"/>
      <c r="O709" s="9" t="n"/>
    </row>
    <row r="710" ht="18" customHeight="1">
      <c r="A710" s="626" t="n"/>
      <c r="B710" s="626" t="n"/>
      <c r="C710" s="726" t="inlineStr">
        <is>
          <t>点検内容</t>
        </is>
      </c>
      <c r="D710" s="580" t="n"/>
      <c r="E710" s="931">
        <f>I650+3</f>
        <v/>
      </c>
      <c r="F710" s="931">
        <f>E710+1</f>
        <v/>
      </c>
      <c r="G710" s="931" t="n"/>
      <c r="H710" s="931" t="n"/>
      <c r="I710" s="931" t="n"/>
      <c r="J710" s="9" t="n"/>
      <c r="K710" s="9" t="n"/>
      <c r="L710" s="9" t="n"/>
      <c r="M710" s="9" t="n"/>
      <c r="N710" s="9" t="n"/>
      <c r="O710" s="9" t="n"/>
    </row>
    <row r="711">
      <c r="A711" s="729" t="inlineStr">
        <is>
          <t>ポンプ井</t>
        </is>
      </c>
      <c r="B711" s="726" t="inlineStr">
        <is>
          <t>―</t>
        </is>
      </c>
      <c r="C711" s="306" t="inlineStr">
        <is>
          <t>内部状況確認</t>
        </is>
      </c>
      <c r="D711" s="307" t="n"/>
      <c r="E711" s="309" t="n"/>
      <c r="F711" s="309" t="n"/>
      <c r="G711" s="309" t="n"/>
      <c r="H711" s="309" t="n"/>
      <c r="I711" s="309" t="n"/>
      <c r="J711" s="9" t="n"/>
      <c r="K711" s="9" t="n"/>
      <c r="L711" s="9" t="n"/>
      <c r="M711" s="9" t="n"/>
      <c r="N711" s="9" t="n"/>
      <c r="O711" s="9" t="n"/>
    </row>
    <row r="712">
      <c r="A712" s="756" t="inlineStr">
        <is>
          <t>汚水ポンプ</t>
        </is>
      </c>
      <c r="B712" s="726" t="n">
        <v>1</v>
      </c>
      <c r="C712" s="310" t="inlineStr">
        <is>
          <t>電流値</t>
        </is>
      </c>
      <c r="D712" s="734" t="inlineStr">
        <is>
          <t>Ａ</t>
        </is>
      </c>
      <c r="E712" s="936" t="n"/>
      <c r="F712" s="936" t="n"/>
      <c r="G712" s="936" t="n"/>
      <c r="H712" s="936" t="n"/>
      <c r="I712" s="933" t="n"/>
      <c r="J712" s="9" t="n"/>
      <c r="K712" s="9" t="n"/>
      <c r="L712" s="9" t="n"/>
      <c r="M712" s="9" t="n"/>
      <c r="N712" s="9" t="n"/>
      <c r="O712" s="9" t="n"/>
    </row>
    <row r="713">
      <c r="A713" s="679" t="n"/>
      <c r="B713" s="679" t="n"/>
      <c r="C713" s="314" t="inlineStr">
        <is>
          <t>吐出圧力</t>
        </is>
      </c>
      <c r="D713" s="315" t="inlineStr">
        <is>
          <t>Mpa</t>
        </is>
      </c>
      <c r="E713" s="382" t="n"/>
      <c r="F713" s="382" t="n"/>
      <c r="G713" s="382" t="n"/>
      <c r="H713" s="382" t="n"/>
      <c r="I713" s="317" t="n"/>
      <c r="J713" s="9" t="n"/>
      <c r="K713" s="9" t="n"/>
      <c r="L713" s="9" t="n"/>
      <c r="M713" s="9" t="n"/>
      <c r="N713" s="9" t="n"/>
      <c r="O713" s="9" t="n"/>
    </row>
    <row r="714">
      <c r="A714" s="679" t="n"/>
      <c r="B714" s="626" t="n"/>
      <c r="C714" s="318" t="inlineStr">
        <is>
          <t>異音、振動</t>
        </is>
      </c>
      <c r="D714" s="319" t="n"/>
      <c r="E714" s="384" t="n"/>
      <c r="F714" s="384" t="n"/>
      <c r="G714" s="384" t="n"/>
      <c r="H714" s="384" t="n"/>
      <c r="I714" s="321" t="n"/>
      <c r="J714" s="9" t="n"/>
      <c r="K714" s="9" t="n"/>
      <c r="L714" s="9" t="n"/>
      <c r="M714" s="9" t="n"/>
      <c r="N714" s="9" t="n"/>
      <c r="O714" s="9" t="n"/>
    </row>
    <row r="715">
      <c r="A715" s="679" t="n"/>
      <c r="B715" s="726" t="n">
        <v>2</v>
      </c>
      <c r="C715" s="310" t="inlineStr">
        <is>
          <t>電流値</t>
        </is>
      </c>
      <c r="D715" s="734" t="inlineStr">
        <is>
          <t>Ａ</t>
        </is>
      </c>
      <c r="E715" s="933" t="n"/>
      <c r="F715" s="933" t="n"/>
      <c r="G715" s="933" t="n"/>
      <c r="H715" s="933" t="n"/>
      <c r="I715" s="933" t="n"/>
      <c r="J715" s="9" t="n"/>
      <c r="K715" s="9" t="n"/>
      <c r="L715" s="9" t="n"/>
      <c r="M715" s="9" t="n"/>
      <c r="N715" s="9" t="n"/>
      <c r="O715" s="9" t="n"/>
    </row>
    <row r="716" ht="13.5" customHeight="1">
      <c r="A716" s="679" t="n"/>
      <c r="B716" s="679" t="n"/>
      <c r="C716" s="314" t="inlineStr">
        <is>
          <t>吐出圧力</t>
        </is>
      </c>
      <c r="D716" s="315" t="inlineStr">
        <is>
          <t>Mpa</t>
        </is>
      </c>
      <c r="E716" s="323" t="n"/>
      <c r="F716" s="323" t="n"/>
      <c r="G716" s="323" t="n"/>
      <c r="H716" s="323" t="n"/>
      <c r="I716" s="323" t="n"/>
      <c r="J716" s="9" t="n"/>
      <c r="K716" s="73" t="n"/>
      <c r="L716" s="9" t="n"/>
      <c r="M716" s="9" t="n"/>
      <c r="N716" s="9" t="n"/>
      <c r="O716" s="9" t="n"/>
    </row>
    <row r="717">
      <c r="A717" s="679" t="n"/>
      <c r="B717" s="626" t="n"/>
      <c r="C717" s="318">
        <f>C714</f>
        <v/>
      </c>
      <c r="D717" s="319" t="n"/>
      <c r="E717" s="325" t="n"/>
      <c r="F717" s="325" t="n"/>
      <c r="G717" s="325" t="n"/>
      <c r="H717" s="325" t="n"/>
      <c r="I717" s="325" t="n"/>
      <c r="J717" s="9" t="n"/>
      <c r="K717" s="9" t="n"/>
      <c r="L717" s="9" t="n"/>
      <c r="M717" s="9" t="n"/>
      <c r="N717" s="9" t="n"/>
      <c r="O717" s="9" t="n"/>
    </row>
    <row r="718" ht="18" customHeight="1">
      <c r="A718" s="679" t="n"/>
      <c r="B718" s="726" t="inlineStr">
        <is>
          <t>―</t>
        </is>
      </c>
      <c r="C718" s="745" t="inlineStr">
        <is>
          <t>モード確認</t>
        </is>
      </c>
      <c r="D718" s="746" t="n"/>
      <c r="E718" s="327" t="n"/>
      <c r="F718" s="327" t="n"/>
      <c r="G718" s="327" t="n"/>
      <c r="H718" s="327" t="n"/>
      <c r="I718" s="327" t="n"/>
      <c r="J718" s="9" t="n"/>
      <c r="K718" s="73" t="n"/>
      <c r="L718" s="73" t="n"/>
      <c r="M718" s="73" t="n"/>
      <c r="N718" s="76" t="n"/>
      <c r="O718" s="9" t="n"/>
    </row>
    <row r="719" ht="18" customHeight="1">
      <c r="A719" s="626" t="n"/>
      <c r="B719" s="626" t="n"/>
      <c r="C719" s="743" t="inlineStr">
        <is>
          <t>機種選択</t>
        </is>
      </c>
      <c r="D719" s="591" t="n"/>
      <c r="E719" s="329" t="n"/>
      <c r="F719" s="329" t="n"/>
      <c r="G719" s="329" t="n"/>
      <c r="H719" s="329" t="n"/>
      <c r="I719" s="329" t="n"/>
      <c r="J719" s="9" t="n"/>
      <c r="K719" s="72" t="n"/>
      <c r="L719" s="72" t="n"/>
      <c r="M719" s="72" t="n"/>
      <c r="N719" s="9" t="n"/>
      <c r="O719" s="9" t="n"/>
    </row>
    <row r="720">
      <c r="A720" s="729" t="inlineStr">
        <is>
          <t>自動除塵機</t>
        </is>
      </c>
      <c r="B720" s="726" t="n"/>
      <c r="C720" s="330" t="inlineStr">
        <is>
          <t>油圧圧力</t>
        </is>
      </c>
      <c r="D720" s="331" t="inlineStr">
        <is>
          <t>Mpa</t>
        </is>
      </c>
      <c r="E720" s="933" t="n"/>
      <c r="F720" s="933" t="n"/>
      <c r="G720" s="933" t="n"/>
      <c r="H720" s="933" t="n"/>
      <c r="I720" s="933" t="n"/>
      <c r="J720" s="9" t="n"/>
      <c r="K720" s="9" t="n"/>
      <c r="L720" s="9" t="n"/>
      <c r="M720" s="9" t="n"/>
      <c r="N720" s="9" t="n"/>
      <c r="O720" s="9" t="n"/>
    </row>
    <row r="721">
      <c r="A721" s="679" t="n"/>
      <c r="B721" s="679" t="n"/>
      <c r="C721" s="314" t="inlineStr">
        <is>
          <t>異音、振動</t>
        </is>
      </c>
      <c r="D721" s="315" t="n"/>
      <c r="E721" s="317" t="n"/>
      <c r="F721" s="317" t="n"/>
      <c r="G721" s="317" t="n"/>
      <c r="H721" s="317" t="n"/>
      <c r="I721" s="317" t="n"/>
      <c r="J721" s="9" t="n"/>
      <c r="K721" s="76" t="n"/>
      <c r="L721" s="76" t="n"/>
      <c r="M721" s="76" t="n"/>
      <c r="N721" s="72" t="n"/>
      <c r="O721" s="9" t="n"/>
    </row>
    <row r="722">
      <c r="A722" s="679" t="n"/>
      <c r="B722" s="679" t="n"/>
      <c r="C722" s="314" t="inlineStr">
        <is>
          <t>し渣量の確認</t>
        </is>
      </c>
      <c r="D722" s="315" t="n"/>
      <c r="E722" s="317" t="n"/>
      <c r="F722" s="317" t="n"/>
      <c r="G722" s="317" t="n"/>
      <c r="H722" s="317" t="n"/>
      <c r="I722" s="317" t="n"/>
      <c r="J722" s="9" t="n"/>
      <c r="K722" s="76" t="n"/>
      <c r="L722" s="76" t="n"/>
      <c r="M722" s="72" t="n"/>
      <c r="N722" s="9" t="n"/>
      <c r="O722" s="9" t="n"/>
    </row>
    <row r="723">
      <c r="A723" s="626" t="n"/>
      <c r="B723" s="626" t="n"/>
      <c r="C723" s="318" t="inlineStr">
        <is>
          <t>運転動作</t>
        </is>
      </c>
      <c r="D723" s="319" t="n"/>
      <c r="E723" s="321" t="n"/>
      <c r="F723" s="321" t="n"/>
      <c r="G723" s="321" t="n"/>
      <c r="H723" s="321" t="n"/>
      <c r="I723" s="321" t="n"/>
      <c r="J723" s="9" t="n"/>
      <c r="K723" s="9" t="n"/>
      <c r="L723" s="9" t="n"/>
      <c r="M723" s="9" t="n"/>
      <c r="N723" s="9" t="n"/>
      <c r="O723" s="9" t="n"/>
    </row>
    <row r="724">
      <c r="A724" s="741" t="inlineStr">
        <is>
          <t>エアレーション装置</t>
        </is>
      </c>
      <c r="B724" s="728" t="inlineStr">
        <is>
          <t>№1</t>
        </is>
      </c>
      <c r="C724" s="310" t="inlineStr">
        <is>
          <t>電流値</t>
        </is>
      </c>
      <c r="D724" s="734" t="inlineStr">
        <is>
          <t>Ａ</t>
        </is>
      </c>
      <c r="E724" s="933" t="n"/>
      <c r="F724" s="933" t="n"/>
      <c r="G724" s="933" t="n"/>
      <c r="H724" s="933" t="n"/>
      <c r="I724" s="933" t="n"/>
      <c r="J724" s="9" t="n"/>
      <c r="K724" s="9" t="n"/>
      <c r="L724" s="9" t="n"/>
      <c r="M724" s="9" t="n"/>
      <c r="N724" s="9" t="n"/>
      <c r="O724" s="9" t="n"/>
    </row>
    <row r="725">
      <c r="A725" s="679" t="n"/>
      <c r="B725" s="679" t="n"/>
      <c r="C725" s="314">
        <f>C721</f>
        <v/>
      </c>
      <c r="D725" s="315" t="n"/>
      <c r="E725" s="317" t="n"/>
      <c r="F725" s="317" t="n"/>
      <c r="G725" s="317" t="n"/>
      <c r="H725" s="317" t="n"/>
      <c r="I725" s="317" t="n"/>
      <c r="J725" s="9" t="n"/>
      <c r="K725" s="76" t="n"/>
      <c r="L725" s="76" t="n"/>
      <c r="M725" s="76" t="n"/>
      <c r="N725" s="9" t="n"/>
      <c r="O725" s="9" t="n"/>
    </row>
    <row r="726" ht="18" customHeight="1">
      <c r="A726" s="679" t="n"/>
      <c r="B726" s="626" t="n"/>
      <c r="C726" s="743" t="inlineStr">
        <is>
          <t>モード確認</t>
        </is>
      </c>
      <c r="D726" s="591" t="n"/>
      <c r="E726" s="321" t="n"/>
      <c r="F726" s="321" t="n"/>
      <c r="G726" s="321" t="n"/>
      <c r="H726" s="321" t="n"/>
      <c r="I726" s="321" t="n"/>
      <c r="J726" s="9" t="n"/>
      <c r="K726" s="9" t="n"/>
      <c r="L726" s="9" t="n"/>
      <c r="M726" s="9" t="n"/>
      <c r="N726" s="9" t="n"/>
      <c r="O726" s="9" t="n"/>
    </row>
    <row r="727">
      <c r="A727" s="679" t="n"/>
      <c r="B727" s="728" t="inlineStr">
        <is>
          <t>№2</t>
        </is>
      </c>
      <c r="C727" s="310" t="inlineStr">
        <is>
          <t>電流値</t>
        </is>
      </c>
      <c r="D727" s="734" t="inlineStr">
        <is>
          <t>Ａ</t>
        </is>
      </c>
      <c r="E727" s="933" t="n"/>
      <c r="F727" s="933" t="n"/>
      <c r="G727" s="933" t="n"/>
      <c r="H727" s="933" t="n"/>
      <c r="I727" s="933" t="n"/>
      <c r="J727" s="9" t="n"/>
      <c r="K727" s="76" t="n"/>
      <c r="L727" s="76" t="n"/>
      <c r="M727" s="76" t="n"/>
      <c r="N727" s="9" t="n"/>
      <c r="O727" s="9" t="n"/>
    </row>
    <row r="728">
      <c r="A728" s="679" t="n"/>
      <c r="B728" s="679" t="n"/>
      <c r="C728" s="314">
        <f>C725</f>
        <v/>
      </c>
      <c r="D728" s="315" t="n"/>
      <c r="E728" s="317" t="n"/>
      <c r="F728" s="317" t="n"/>
      <c r="G728" s="317" t="n"/>
      <c r="H728" s="317" t="n"/>
      <c r="I728" s="317" t="n"/>
      <c r="J728" s="9" t="n"/>
      <c r="K728" s="9" t="n"/>
      <c r="L728" s="9" t="n"/>
      <c r="M728" s="9" t="n"/>
      <c r="N728" s="9" t="n"/>
      <c r="O728" s="9" t="n"/>
    </row>
    <row r="729" ht="18" customHeight="1">
      <c r="A729" s="679" t="n"/>
      <c r="B729" s="626" t="n"/>
      <c r="C729" s="743" t="inlineStr">
        <is>
          <t>モード確認</t>
        </is>
      </c>
      <c r="D729" s="591" t="n"/>
      <c r="E729" s="321" t="n"/>
      <c r="F729" s="321" t="n"/>
      <c r="G729" s="321" t="n"/>
      <c r="H729" s="321" t="n"/>
      <c r="I729" s="321" t="n"/>
      <c r="J729" s="9" t="n"/>
      <c r="K729" s="76" t="n"/>
      <c r="L729" s="76" t="n"/>
      <c r="M729" s="9" t="n"/>
      <c r="N729" s="9" t="n"/>
      <c r="O729" s="9" t="n"/>
    </row>
    <row r="730">
      <c r="A730" s="679" t="n"/>
      <c r="B730" s="728" t="inlineStr">
        <is>
          <t>№3</t>
        </is>
      </c>
      <c r="C730" s="310" t="inlineStr">
        <is>
          <t>電流値</t>
        </is>
      </c>
      <c r="D730" s="734" t="inlineStr">
        <is>
          <t>Ａ</t>
        </is>
      </c>
      <c r="E730" s="933" t="n"/>
      <c r="F730" s="933" t="n"/>
      <c r="G730" s="933" t="n"/>
      <c r="H730" s="933" t="n"/>
      <c r="I730" s="933" t="n"/>
      <c r="J730" s="76" t="n"/>
      <c r="K730" s="76" t="n"/>
      <c r="L730" s="76" t="n"/>
      <c r="M730" s="9" t="n"/>
      <c r="N730" s="9" t="n"/>
      <c r="O730" s="9" t="n"/>
    </row>
    <row r="731">
      <c r="A731" s="679" t="n"/>
      <c r="B731" s="679" t="n"/>
      <c r="C731" s="314">
        <f>C728</f>
        <v/>
      </c>
      <c r="D731" s="315" t="n"/>
      <c r="E731" s="317" t="n"/>
      <c r="F731" s="317" t="n"/>
      <c r="G731" s="317" t="n"/>
      <c r="H731" s="317" t="n"/>
      <c r="I731" s="317" t="n"/>
      <c r="J731" s="9" t="n"/>
      <c r="K731" s="9" t="n"/>
      <c r="L731" s="9" t="n"/>
      <c r="M731" s="9" t="n"/>
      <c r="N731" s="9" t="n"/>
      <c r="O731" s="9" t="n"/>
    </row>
    <row r="732" ht="18" customHeight="1">
      <c r="A732" s="679" t="n"/>
      <c r="B732" s="626" t="n"/>
      <c r="C732" s="743" t="inlineStr">
        <is>
          <t>モード確認</t>
        </is>
      </c>
      <c r="D732" s="591" t="n"/>
      <c r="E732" s="321" t="n"/>
      <c r="F732" s="321" t="n"/>
      <c r="G732" s="321" t="n"/>
      <c r="H732" s="321" t="n"/>
      <c r="I732" s="321" t="n"/>
      <c r="J732" s="9" t="n"/>
      <c r="K732" s="9" t="n"/>
      <c r="L732" s="9" t="n"/>
      <c r="M732" s="9" t="n"/>
      <c r="N732" s="9" t="n"/>
      <c r="O732" s="9" t="n"/>
    </row>
    <row r="733">
      <c r="A733" s="679" t="n"/>
      <c r="B733" s="728" t="inlineStr">
        <is>
          <t>№4</t>
        </is>
      </c>
      <c r="C733" s="310" t="inlineStr">
        <is>
          <t>電流値</t>
        </is>
      </c>
      <c r="D733" s="734" t="inlineStr">
        <is>
          <t>Ａ</t>
        </is>
      </c>
      <c r="E733" s="933" t="n"/>
      <c r="F733" s="933" t="n"/>
      <c r="G733" s="933" t="n"/>
      <c r="H733" s="933" t="n"/>
      <c r="I733" s="933" t="n"/>
      <c r="J733" s="9" t="n"/>
      <c r="K733" s="9" t="n"/>
      <c r="L733" s="9" t="n"/>
      <c r="M733" s="9" t="n"/>
      <c r="N733" s="9" t="n"/>
      <c r="O733" s="9" t="n"/>
    </row>
    <row r="734">
      <c r="A734" s="679" t="n"/>
      <c r="B734" s="679" t="n"/>
      <c r="C734" s="314">
        <f>C731</f>
        <v/>
      </c>
      <c r="D734" s="315" t="n"/>
      <c r="E734" s="317" t="n"/>
      <c r="F734" s="317" t="n"/>
      <c r="G734" s="317" t="n"/>
      <c r="H734" s="317" t="n"/>
      <c r="I734" s="317" t="n"/>
      <c r="J734" s="9" t="n"/>
      <c r="K734" s="9" t="n"/>
      <c r="L734" s="9" t="n"/>
      <c r="M734" s="9" t="n"/>
      <c r="N734" s="9" t="n"/>
      <c r="O734" s="9" t="n"/>
    </row>
    <row r="735" ht="18" customHeight="1">
      <c r="A735" s="626" t="n"/>
      <c r="B735" s="626" t="n"/>
      <c r="C735" s="743" t="inlineStr">
        <is>
          <t>モード確認</t>
        </is>
      </c>
      <c r="D735" s="591" t="n"/>
      <c r="E735" s="321" t="n"/>
      <c r="F735" s="321" t="n"/>
      <c r="G735" s="321" t="n"/>
      <c r="H735" s="321" t="n"/>
      <c r="I735" s="321" t="n"/>
      <c r="J735" s="9" t="n"/>
      <c r="K735" s="9" t="n"/>
      <c r="L735" s="9" t="n"/>
      <c r="M735" s="9" t="n"/>
      <c r="N735" s="9" t="n"/>
      <c r="O735" s="9" t="n"/>
    </row>
    <row r="736">
      <c r="A736" s="729" t="inlineStr">
        <is>
          <t>消泡装置</t>
        </is>
      </c>
      <c r="B736" s="726" t="inlineStr">
        <is>
          <t>―</t>
        </is>
      </c>
      <c r="C736" s="310" t="inlineStr">
        <is>
          <t>消泡ノズル</t>
        </is>
      </c>
      <c r="D736" s="734" t="n"/>
      <c r="E736" s="333" t="n"/>
      <c r="F736" s="333" t="n"/>
      <c r="G736" s="333" t="n"/>
      <c r="H736" s="333" t="n"/>
      <c r="I736" s="333" t="n"/>
      <c r="J736" s="9" t="n"/>
      <c r="K736" s="9" t="n"/>
      <c r="L736" s="9" t="n"/>
      <c r="M736" s="9" t="n"/>
      <c r="N736" s="9" t="n"/>
      <c r="O736" s="9" t="n"/>
    </row>
    <row r="737">
      <c r="A737" s="626" t="n"/>
      <c r="B737" s="626" t="n"/>
      <c r="C737" s="334" t="inlineStr">
        <is>
          <t>消泡状態</t>
        </is>
      </c>
      <c r="D737" s="335" t="n"/>
      <c r="E737" s="325" t="n"/>
      <c r="F737" s="325" t="n"/>
      <c r="G737" s="325" t="n"/>
      <c r="H737" s="325" t="n"/>
      <c r="I737" s="325" t="n"/>
      <c r="J737" s="9" t="n"/>
      <c r="K737" s="9" t="n"/>
      <c r="L737" s="9" t="n"/>
      <c r="M737" s="9" t="n"/>
      <c r="N737" s="9" t="n"/>
      <c r="O737" s="9" t="n"/>
    </row>
    <row r="738">
      <c r="A738" s="729" t="inlineStr">
        <is>
          <t>流出可動堰</t>
        </is>
      </c>
      <c r="B738" s="336" t="n">
        <v>1</v>
      </c>
      <c r="C738" s="310" t="inlineStr">
        <is>
          <t>開度</t>
        </is>
      </c>
      <c r="D738" s="734" t="inlineStr">
        <is>
          <t>㎜</t>
        </is>
      </c>
      <c r="E738" s="327" t="n"/>
      <c r="F738" s="327" t="n"/>
      <c r="G738" s="327" t="n"/>
      <c r="H738" s="327" t="n"/>
      <c r="I738" s="327" t="n"/>
      <c r="J738" s="9" t="n"/>
      <c r="K738" s="9" t="n"/>
      <c r="L738" s="9" t="n"/>
      <c r="M738" s="9" t="n"/>
      <c r="N738" s="9" t="n"/>
      <c r="O738" s="9" t="n"/>
    </row>
    <row r="739">
      <c r="A739" s="626" t="n"/>
      <c r="B739" s="337" t="n">
        <v>2</v>
      </c>
      <c r="C739" s="334" t="inlineStr">
        <is>
          <t>開度</t>
        </is>
      </c>
      <c r="D739" s="335" t="inlineStr">
        <is>
          <t>㎜</t>
        </is>
      </c>
      <c r="E739" s="329" t="n"/>
      <c r="F739" s="329" t="n"/>
      <c r="G739" s="329" t="n"/>
      <c r="H739" s="329" t="n"/>
      <c r="I739" s="329" t="n"/>
      <c r="J739" s="9" t="n"/>
      <c r="K739" s="9" t="n"/>
      <c r="L739" s="9" t="n"/>
      <c r="M739" s="9" t="n"/>
      <c r="N739" s="9" t="n"/>
      <c r="O739" s="9" t="n"/>
    </row>
    <row r="740">
      <c r="A740" s="729" t="inlineStr">
        <is>
          <t>流出ゲート</t>
        </is>
      </c>
      <c r="B740" s="336" t="n">
        <v>1</v>
      </c>
      <c r="C740" s="310" t="inlineStr">
        <is>
          <t>開度</t>
        </is>
      </c>
      <c r="D740" s="734" t="inlineStr">
        <is>
          <t>㎜</t>
        </is>
      </c>
      <c r="E740" s="333" t="n"/>
      <c r="F740" s="333" t="n"/>
      <c r="G740" s="333" t="n"/>
      <c r="H740" s="333" t="n"/>
      <c r="I740" s="333" t="n"/>
      <c r="J740" s="9" t="n"/>
      <c r="K740" s="9" t="n"/>
      <c r="L740" s="9" t="n"/>
      <c r="M740" s="9" t="n"/>
      <c r="N740" s="9" t="n"/>
      <c r="O740" s="9" t="n"/>
    </row>
    <row r="741">
      <c r="A741" s="626" t="n"/>
      <c r="B741" s="337" t="n">
        <v>2</v>
      </c>
      <c r="C741" s="334" t="inlineStr">
        <is>
          <t>開度</t>
        </is>
      </c>
      <c r="D741" s="335" t="inlineStr">
        <is>
          <t>㎜</t>
        </is>
      </c>
      <c r="E741" s="325" t="n"/>
      <c r="F741" s="325" t="n"/>
      <c r="G741" s="325" t="n"/>
      <c r="H741" s="325" t="n"/>
      <c r="I741" s="325" t="n"/>
      <c r="J741" s="9" t="n"/>
      <c r="K741" s="9" t="n"/>
      <c r="L741" s="9" t="n"/>
      <c r="M741" s="9" t="n"/>
      <c r="N741" s="9" t="n"/>
      <c r="O741" s="9" t="n"/>
    </row>
    <row r="742">
      <c r="A742" s="729" t="inlineStr">
        <is>
          <t>連絡ゲート</t>
        </is>
      </c>
      <c r="B742" s="726" t="inlineStr">
        <is>
          <t>－</t>
        </is>
      </c>
      <c r="C742" s="306" t="inlineStr">
        <is>
          <t>開度</t>
        </is>
      </c>
      <c r="D742" s="307" t="inlineStr">
        <is>
          <t>㎜</t>
        </is>
      </c>
      <c r="E742" s="309" t="n"/>
      <c r="F742" s="309" t="n"/>
      <c r="G742" s="309" t="n"/>
      <c r="H742" s="309" t="n"/>
      <c r="I742" s="309" t="n"/>
      <c r="J742" s="9" t="n"/>
      <c r="K742" s="9" t="n"/>
      <c r="L742" s="9" t="n"/>
      <c r="M742" s="9" t="n"/>
      <c r="N742" s="9" t="n"/>
      <c r="O742" s="9" t="n"/>
    </row>
    <row r="743">
      <c r="A743" s="741" t="inlineStr">
        <is>
          <t>終沈汚泥掻寄機</t>
        </is>
      </c>
      <c r="B743" s="726" t="n">
        <v>1</v>
      </c>
      <c r="C743" s="310" t="inlineStr">
        <is>
          <t>電流値</t>
        </is>
      </c>
      <c r="D743" s="734" t="inlineStr">
        <is>
          <t>Ａ</t>
        </is>
      </c>
      <c r="E743" s="339" t="n"/>
      <c r="F743" s="339" t="n"/>
      <c r="G743" s="339" t="n"/>
      <c r="H743" s="339" t="n"/>
      <c r="I743" s="339" t="n"/>
      <c r="J743" s="9" t="n"/>
      <c r="K743" s="9" t="n"/>
      <c r="L743" s="9" t="n"/>
      <c r="M743" s="9" t="n"/>
      <c r="N743" s="9" t="n"/>
      <c r="O743" s="9" t="n"/>
    </row>
    <row r="744">
      <c r="A744" s="679" t="n"/>
      <c r="B744" s="626" t="n"/>
      <c r="C744" s="340" t="inlineStr">
        <is>
          <t>異音、振動等</t>
        </is>
      </c>
      <c r="D744" s="335" t="n"/>
      <c r="E744" s="325" t="n"/>
      <c r="F744" s="325" t="n"/>
      <c r="G744" s="325" t="n"/>
      <c r="H744" s="325" t="n"/>
      <c r="I744" s="325" t="n"/>
      <c r="J744" s="9" t="n"/>
      <c r="K744" s="9" t="n"/>
      <c r="L744" s="9" t="n"/>
      <c r="M744" s="9" t="n"/>
      <c r="N744" s="9" t="n"/>
      <c r="O744" s="9" t="n"/>
    </row>
    <row r="745">
      <c r="A745" s="679" t="n"/>
      <c r="B745" s="726" t="n">
        <v>2</v>
      </c>
      <c r="C745" s="341" t="inlineStr">
        <is>
          <t>電流値</t>
        </is>
      </c>
      <c r="D745" s="342" t="inlineStr">
        <is>
          <t>Ａ</t>
        </is>
      </c>
      <c r="E745" s="339" t="n"/>
      <c r="F745" s="339" t="n"/>
      <c r="G745" s="339" t="n"/>
      <c r="H745" s="339" t="n"/>
      <c r="I745" s="339" t="n"/>
      <c r="J745" s="9" t="n"/>
      <c r="K745" s="9" t="n"/>
      <c r="L745" s="9" t="n"/>
      <c r="M745" s="9" t="n"/>
      <c r="N745" s="9" t="n"/>
      <c r="O745" s="9" t="n"/>
    </row>
    <row r="746">
      <c r="A746" s="626" t="n"/>
      <c r="B746" s="626" t="n"/>
      <c r="C746" s="318">
        <f>C744</f>
        <v/>
      </c>
      <c r="D746" s="319" t="n"/>
      <c r="E746" s="321" t="n"/>
      <c r="F746" s="321" t="n"/>
      <c r="G746" s="321" t="n"/>
      <c r="H746" s="321" t="n"/>
      <c r="I746" s="321" t="n"/>
      <c r="J746" s="9" t="n"/>
      <c r="K746" s="9" t="n"/>
      <c r="L746" s="9" t="n"/>
      <c r="M746" s="9" t="n"/>
      <c r="N746" s="9" t="n"/>
      <c r="O746" s="9" t="n"/>
    </row>
    <row r="747">
      <c r="A747" s="741" t="inlineStr">
        <is>
          <t>スカムスキマー</t>
        </is>
      </c>
      <c r="B747" s="726" t="n">
        <v>1</v>
      </c>
      <c r="C747" s="310" t="inlineStr">
        <is>
          <t>動作状況</t>
        </is>
      </c>
      <c r="D747" s="734" t="n"/>
      <c r="E747" s="333" t="n"/>
      <c r="F747" s="333" t="n"/>
      <c r="G747" s="333" t="n"/>
      <c r="H747" s="333" t="n"/>
      <c r="I747" s="333" t="n"/>
      <c r="J747" s="9" t="n"/>
      <c r="K747" s="9" t="n"/>
      <c r="L747" s="9" t="n"/>
      <c r="M747" s="9" t="n"/>
      <c r="N747" s="9" t="n"/>
      <c r="O747" s="9" t="n"/>
    </row>
    <row r="748">
      <c r="A748" s="679" t="n"/>
      <c r="B748" s="626" t="n"/>
      <c r="C748" s="334" t="inlineStr">
        <is>
          <t>スカムの状況</t>
        </is>
      </c>
      <c r="D748" s="335" t="n"/>
      <c r="E748" s="325" t="n"/>
      <c r="F748" s="325" t="n"/>
      <c r="G748" s="325" t="n"/>
      <c r="H748" s="325" t="n"/>
      <c r="I748" s="325" t="n"/>
      <c r="J748" s="9" t="n"/>
      <c r="K748" s="9" t="n"/>
      <c r="L748" s="9" t="n"/>
      <c r="M748" s="9" t="n"/>
      <c r="N748" s="9" t="n"/>
      <c r="O748" s="9" t="n"/>
    </row>
    <row r="749">
      <c r="A749" s="679" t="n"/>
      <c r="B749" s="726" t="n">
        <v>2</v>
      </c>
      <c r="C749" s="341" t="inlineStr">
        <is>
          <t>動作状況</t>
        </is>
      </c>
      <c r="D749" s="342" t="n"/>
      <c r="E749" s="327" t="n"/>
      <c r="F749" s="327" t="n"/>
      <c r="G749" s="327" t="n"/>
      <c r="H749" s="327" t="n"/>
      <c r="I749" s="327" t="n"/>
      <c r="J749" s="9" t="n"/>
      <c r="K749" s="9" t="n"/>
      <c r="L749" s="9" t="n"/>
      <c r="M749" s="9" t="n"/>
      <c r="N749" s="9" t="n"/>
      <c r="O749" s="9" t="n"/>
    </row>
    <row r="750">
      <c r="A750" s="626" t="n"/>
      <c r="B750" s="626" t="n"/>
      <c r="C750" s="318" t="inlineStr">
        <is>
          <t>スカムの状況</t>
        </is>
      </c>
      <c r="D750" s="319" t="n"/>
      <c r="E750" s="321" t="n"/>
      <c r="F750" s="321" t="n"/>
      <c r="G750" s="321" t="n"/>
      <c r="H750" s="321" t="n"/>
      <c r="I750" s="321" t="n"/>
      <c r="J750" s="9" t="n"/>
      <c r="K750" s="9" t="n"/>
      <c r="L750" s="9" t="n"/>
      <c r="M750" s="9" t="n"/>
      <c r="N750" s="9" t="n"/>
      <c r="O750" s="9" t="n"/>
    </row>
    <row r="751">
      <c r="A751" s="749" t="inlineStr">
        <is>
          <t>返送汚泥ポンプ</t>
        </is>
      </c>
      <c r="B751" s="728" t="inlineStr">
        <is>
          <t>№1</t>
        </is>
      </c>
      <c r="C751" s="310" t="inlineStr">
        <is>
          <t>電流値</t>
        </is>
      </c>
      <c r="D751" s="734" t="inlineStr">
        <is>
          <t>Ａ</t>
        </is>
      </c>
      <c r="E751" s="933" t="n"/>
      <c r="F751" s="933" t="n"/>
      <c r="G751" s="933" t="n"/>
      <c r="H751" s="933" t="n"/>
      <c r="I751" s="933" t="n"/>
      <c r="J751" s="9" t="n"/>
      <c r="K751" s="9" t="n"/>
      <c r="L751" s="9" t="n"/>
      <c r="M751" s="9" t="n"/>
      <c r="N751" s="9" t="n"/>
      <c r="O751" s="9" t="n"/>
    </row>
    <row r="752">
      <c r="A752" s="679" t="n"/>
      <c r="B752" s="679" t="n"/>
      <c r="C752" s="314" t="inlineStr">
        <is>
          <t>吐出圧力</t>
        </is>
      </c>
      <c r="D752" s="315" t="inlineStr">
        <is>
          <t>Mpa</t>
        </is>
      </c>
      <c r="E752" s="317" t="n"/>
      <c r="F752" s="317" t="n"/>
      <c r="G752" s="317" t="n"/>
      <c r="H752" s="317" t="n"/>
      <c r="I752" s="317" t="n"/>
      <c r="J752" s="9" t="n"/>
      <c r="K752" s="9" t="n"/>
      <c r="L752" s="9" t="n"/>
      <c r="M752" s="9" t="n"/>
      <c r="N752" s="9" t="n"/>
      <c r="O752" s="9" t="n"/>
    </row>
    <row r="753">
      <c r="A753" s="679" t="n"/>
      <c r="B753" s="626" t="n"/>
      <c r="C753" s="318" t="inlineStr">
        <is>
          <t>異音、振動</t>
        </is>
      </c>
      <c r="D753" s="319" t="n"/>
      <c r="E753" s="321" t="n"/>
      <c r="F753" s="321" t="n"/>
      <c r="G753" s="321" t="n"/>
      <c r="H753" s="321" t="n"/>
      <c r="I753" s="321" t="n"/>
      <c r="J753" s="9" t="n"/>
      <c r="K753" s="9" t="n"/>
      <c r="L753" s="9" t="n"/>
      <c r="M753" s="9" t="n"/>
      <c r="N753" s="9" t="n"/>
      <c r="O753" s="9" t="n"/>
    </row>
    <row r="754">
      <c r="A754" s="679" t="n"/>
      <c r="B754" s="728" t="inlineStr">
        <is>
          <t>№2</t>
        </is>
      </c>
      <c r="C754" s="310" t="inlineStr">
        <is>
          <t>電流値</t>
        </is>
      </c>
      <c r="D754" s="734" t="inlineStr">
        <is>
          <t>Ａ</t>
        </is>
      </c>
      <c r="E754" s="333" t="n"/>
      <c r="F754" s="333" t="n"/>
      <c r="G754" s="333" t="n"/>
      <c r="H754" s="333" t="n"/>
      <c r="I754" s="333" t="n"/>
      <c r="J754" s="9" t="n"/>
      <c r="K754" s="9" t="n"/>
      <c r="L754" s="9" t="n"/>
      <c r="M754" s="9" t="n"/>
      <c r="N754" s="9" t="n"/>
      <c r="O754" s="9" t="n"/>
    </row>
    <row r="755">
      <c r="A755" s="679" t="n"/>
      <c r="B755" s="679" t="n"/>
      <c r="C755" s="314">
        <f>C752</f>
        <v/>
      </c>
      <c r="D755" s="315" t="inlineStr">
        <is>
          <t>Mpa</t>
        </is>
      </c>
      <c r="E755" s="317" t="n"/>
      <c r="F755" s="317" t="n"/>
      <c r="G755" s="317" t="n"/>
      <c r="H755" s="317" t="n"/>
      <c r="I755" s="317" t="n"/>
      <c r="J755" s="9" t="n"/>
      <c r="K755" s="9" t="n"/>
      <c r="L755" s="9" t="n"/>
      <c r="M755" s="9" t="n"/>
      <c r="N755" s="9" t="n"/>
      <c r="O755" s="9" t="n"/>
    </row>
    <row r="756">
      <c r="A756" s="679" t="n"/>
      <c r="B756" s="626" t="n"/>
      <c r="C756" s="318" t="inlineStr">
        <is>
          <t>異音、振動</t>
        </is>
      </c>
      <c r="D756" s="319" t="n"/>
      <c r="E756" s="321" t="n"/>
      <c r="F756" s="321" t="n"/>
      <c r="G756" s="321" t="n"/>
      <c r="H756" s="321" t="n"/>
      <c r="I756" s="321" t="n"/>
      <c r="J756" s="9" t="n"/>
      <c r="K756" s="9" t="n"/>
      <c r="L756" s="9" t="n"/>
      <c r="M756" s="9" t="n"/>
      <c r="N756" s="9" t="n"/>
      <c r="O756" s="9" t="n"/>
    </row>
    <row r="757">
      <c r="A757" s="679" t="n"/>
      <c r="B757" s="728" t="inlineStr">
        <is>
          <t>―</t>
        </is>
      </c>
      <c r="C757" s="310" t="inlineStr">
        <is>
          <t>モード確認</t>
        </is>
      </c>
      <c r="D757" s="734" t="n"/>
      <c r="E757" s="333" t="n"/>
      <c r="F757" s="333" t="n"/>
      <c r="G757" s="333" t="n"/>
      <c r="H757" s="333" t="n"/>
      <c r="I757" s="333" t="n"/>
      <c r="J757" s="9" t="n"/>
      <c r="K757" s="9" t="n"/>
      <c r="L757" s="9" t="n"/>
      <c r="M757" s="9" t="n"/>
      <c r="N757" s="9" t="n"/>
      <c r="O757" s="9" t="n"/>
    </row>
    <row r="758">
      <c r="A758" s="679" t="n"/>
      <c r="B758" s="626" t="n"/>
      <c r="C758" s="334" t="inlineStr">
        <is>
          <t>常用機選択</t>
        </is>
      </c>
      <c r="D758" s="335" t="n"/>
      <c r="E758" s="325" t="n"/>
      <c r="F758" s="325" t="n"/>
      <c r="G758" s="325" t="n"/>
      <c r="H758" s="325" t="n"/>
      <c r="I758" s="325" t="n"/>
      <c r="J758" s="9" t="n"/>
      <c r="K758" s="343" t="n"/>
      <c r="L758" s="343" t="n"/>
      <c r="M758" s="9" t="n"/>
      <c r="N758" s="9" t="n"/>
      <c r="O758" s="9" t="n"/>
    </row>
    <row r="759">
      <c r="A759" s="679" t="n"/>
      <c r="B759" s="728" t="inlineStr">
        <is>
          <t>№3</t>
        </is>
      </c>
      <c r="C759" s="310" t="inlineStr">
        <is>
          <t>電流値</t>
        </is>
      </c>
      <c r="D759" s="734" t="inlineStr">
        <is>
          <t>Ａ</t>
        </is>
      </c>
      <c r="E759" s="933" t="n"/>
      <c r="F759" s="933" t="n"/>
      <c r="G759" s="933" t="n"/>
      <c r="H759" s="933" t="n"/>
      <c r="I759" s="933" t="n"/>
      <c r="J759" s="9" t="n"/>
      <c r="K759" s="9" t="n"/>
      <c r="L759" s="9" t="n"/>
      <c r="M759" s="9" t="n"/>
      <c r="N759" s="9" t="n"/>
      <c r="O759" s="9" t="n"/>
    </row>
    <row r="760">
      <c r="A760" s="679" t="n"/>
      <c r="B760" s="679" t="n"/>
      <c r="C760" s="314">
        <f>C755</f>
        <v/>
      </c>
      <c r="D760" s="315" t="inlineStr">
        <is>
          <t>Mpa</t>
        </is>
      </c>
      <c r="E760" s="317" t="n"/>
      <c r="F760" s="317" t="n"/>
      <c r="G760" s="317" t="n"/>
      <c r="H760" s="317" t="n"/>
      <c r="I760" s="317" t="n"/>
      <c r="J760" s="9" t="n"/>
      <c r="K760" s="9" t="n"/>
      <c r="L760" s="9" t="n"/>
      <c r="M760" s="9" t="n"/>
      <c r="N760" s="9" t="n"/>
      <c r="O760" s="9" t="n"/>
    </row>
    <row r="761">
      <c r="A761" s="679" t="n"/>
      <c r="B761" s="626" t="n"/>
      <c r="C761" s="318" t="inlineStr">
        <is>
          <t>異音、振動</t>
        </is>
      </c>
      <c r="D761" s="319" t="n"/>
      <c r="E761" s="321" t="n"/>
      <c r="F761" s="321" t="n"/>
      <c r="G761" s="321" t="n"/>
      <c r="H761" s="321" t="n"/>
      <c r="I761" s="321" t="n"/>
      <c r="J761" s="9" t="n"/>
      <c r="K761" s="9" t="n"/>
      <c r="L761" s="9" t="n"/>
      <c r="M761" s="9" t="n"/>
      <c r="N761" s="9" t="n"/>
      <c r="O761" s="9" t="n"/>
    </row>
    <row r="762">
      <c r="A762" s="679" t="n"/>
      <c r="B762" s="728" t="inlineStr">
        <is>
          <t>№4</t>
        </is>
      </c>
      <c r="C762" s="310" t="inlineStr">
        <is>
          <t>電流値</t>
        </is>
      </c>
      <c r="D762" s="734" t="inlineStr">
        <is>
          <t>Ａ</t>
        </is>
      </c>
      <c r="E762" s="333" t="n"/>
      <c r="F762" s="333" t="n"/>
      <c r="G762" s="333" t="n"/>
      <c r="H762" s="333" t="n"/>
      <c r="I762" s="333" t="n"/>
      <c r="J762" s="9" t="n"/>
      <c r="K762" s="9" t="n"/>
      <c r="L762" s="9" t="n"/>
      <c r="M762" s="9" t="n"/>
      <c r="N762" s="9" t="n"/>
      <c r="O762" s="9" t="n"/>
    </row>
    <row r="763">
      <c r="A763" s="679" t="n"/>
      <c r="B763" s="679" t="n"/>
      <c r="C763" s="314">
        <f>C760</f>
        <v/>
      </c>
      <c r="D763" s="315" t="inlineStr">
        <is>
          <t>Mpa</t>
        </is>
      </c>
      <c r="E763" s="317" t="n"/>
      <c r="F763" s="317" t="n"/>
      <c r="G763" s="317" t="n"/>
      <c r="H763" s="317" t="n"/>
      <c r="I763" s="317" t="n"/>
      <c r="J763" s="9" t="n"/>
      <c r="K763" s="9" t="n"/>
      <c r="L763" s="9" t="n"/>
      <c r="M763" s="9" t="n"/>
      <c r="N763" s="9" t="n"/>
      <c r="O763" s="9" t="n"/>
    </row>
    <row r="764">
      <c r="A764" s="679" t="n"/>
      <c r="B764" s="626" t="n"/>
      <c r="C764" s="318" t="inlineStr">
        <is>
          <t>異音、振動</t>
        </is>
      </c>
      <c r="D764" s="319" t="n"/>
      <c r="E764" s="321" t="n"/>
      <c r="F764" s="321" t="n"/>
      <c r="G764" s="321" t="n"/>
      <c r="H764" s="321" t="n"/>
      <c r="I764" s="321" t="n"/>
      <c r="J764" s="9" t="n"/>
      <c r="K764" s="9" t="n"/>
      <c r="L764" s="9" t="n"/>
      <c r="M764" s="9" t="n"/>
      <c r="N764" s="9" t="n"/>
      <c r="O764" s="9" t="n"/>
    </row>
    <row r="765">
      <c r="A765" s="679" t="n"/>
      <c r="B765" s="754" t="inlineStr">
        <is>
          <t>―</t>
        </is>
      </c>
      <c r="C765" s="310" t="inlineStr">
        <is>
          <t>モード確認</t>
        </is>
      </c>
      <c r="D765" s="734" t="n"/>
      <c r="E765" s="333" t="n"/>
      <c r="F765" s="333" t="n"/>
      <c r="G765" s="333" t="n"/>
      <c r="H765" s="333" t="n"/>
      <c r="I765" s="333" t="n"/>
      <c r="J765" s="9" t="n"/>
      <c r="K765" s="9" t="n"/>
      <c r="L765" s="9" t="n"/>
      <c r="M765" s="9" t="n"/>
      <c r="N765" s="9" t="n"/>
      <c r="O765" s="9" t="n"/>
    </row>
    <row r="766">
      <c r="A766" s="679" t="n"/>
      <c r="B766" s="679" t="n"/>
      <c r="C766" s="334" t="inlineStr">
        <is>
          <t>常用機選択</t>
        </is>
      </c>
      <c r="D766" s="335" t="n"/>
      <c r="E766" s="325" t="n"/>
      <c r="F766" s="325" t="n"/>
      <c r="G766" s="325" t="n"/>
      <c r="H766" s="325" t="n"/>
      <c r="I766" s="325" t="n"/>
      <c r="J766" s="9" t="n"/>
      <c r="K766" s="343" t="n"/>
      <c r="L766" s="343" t="n"/>
      <c r="M766" s="343" t="n"/>
      <c r="N766" s="9" t="n"/>
      <c r="O766" s="9" t="n"/>
    </row>
    <row r="767" ht="18" customHeight="1">
      <c r="A767" s="747" t="inlineStr">
        <is>
          <t xml:space="preserve">　○：良　　△：要注意　　×：要修理</t>
        </is>
      </c>
      <c r="B767" s="586" t="n"/>
      <c r="C767" s="586" t="n"/>
      <c r="D767" s="586" t="n"/>
      <c r="E767" s="586" t="n"/>
      <c r="F767" s="586" t="n"/>
      <c r="G767" s="586" t="n"/>
      <c r="H767" s="586" t="n"/>
      <c r="I767" s="586" t="n"/>
      <c r="J767" s="9" t="n"/>
      <c r="K767" s="9" t="n"/>
      <c r="L767" s="9" t="n"/>
      <c r="M767" s="9" t="n"/>
      <c r="N767" s="9" t="n"/>
      <c r="O767" s="9" t="n"/>
    </row>
    <row r="768" ht="22" customHeight="1">
      <c r="A768" s="299" t="inlineStr">
        <is>
          <t>機械設備日常点検表（２/３）</t>
        </is>
      </c>
      <c r="B768" s="594" t="n"/>
      <c r="C768" s="300" t="n"/>
      <c r="D768" s="594" t="n"/>
      <c r="E768" s="594" t="n"/>
      <c r="F768" s="594" t="n"/>
      <c r="G768" s="594" t="n"/>
      <c r="H768" s="300">
        <f>H708</f>
        <v/>
      </c>
      <c r="I768" s="594" t="n"/>
      <c r="J768" s="9" t="n"/>
      <c r="K768" s="9" t="n"/>
      <c r="L768" s="9" t="n"/>
      <c r="M768" s="9" t="n"/>
      <c r="N768" s="9" t="n"/>
      <c r="O768" s="9" t="n"/>
    </row>
    <row r="769" ht="18" customHeight="1">
      <c r="A769" s="726" t="inlineStr">
        <is>
          <t>機　器　名</t>
        </is>
      </c>
      <c r="B769" s="726" t="inlineStr">
        <is>
          <t>No</t>
        </is>
      </c>
      <c r="C769" s="726" t="inlineStr">
        <is>
          <t>点 検 者</t>
        </is>
      </c>
      <c r="D769" s="580" t="n"/>
      <c r="E769" s="726">
        <f>E709</f>
        <v/>
      </c>
      <c r="F769" s="726">
        <f>F709</f>
        <v/>
      </c>
      <c r="G769" s="726" t="n"/>
      <c r="H769" s="726" t="n"/>
      <c r="I769" s="726" t="n"/>
      <c r="J769" s="9" t="n"/>
      <c r="K769" s="9" t="n"/>
      <c r="L769" s="9" t="n"/>
      <c r="M769" s="9" t="n"/>
      <c r="N769" s="9" t="n"/>
      <c r="O769" s="9" t="n"/>
    </row>
    <row r="770" ht="18" customHeight="1">
      <c r="A770" s="626" t="n"/>
      <c r="B770" s="626" t="n"/>
      <c r="C770" s="726" t="inlineStr">
        <is>
          <t>点検内容</t>
        </is>
      </c>
      <c r="D770" s="580" t="n"/>
      <c r="E770" s="931">
        <f>E710</f>
        <v/>
      </c>
      <c r="F770" s="931">
        <f>F710</f>
        <v/>
      </c>
      <c r="G770" s="931" t="n"/>
      <c r="H770" s="931" t="n"/>
      <c r="I770" s="931" t="n"/>
      <c r="J770" s="9" t="n"/>
      <c r="K770" s="9" t="n"/>
      <c r="L770" s="9" t="n"/>
      <c r="M770" s="9" t="n"/>
      <c r="N770" s="9" t="n"/>
      <c r="O770" s="9" t="n"/>
    </row>
    <row r="771">
      <c r="A771" s="741" t="inlineStr">
        <is>
          <t>余剰汚泥ポンプ</t>
        </is>
      </c>
      <c r="B771" s="726" t="n">
        <v>1</v>
      </c>
      <c r="C771" s="310" t="inlineStr">
        <is>
          <t>電流値</t>
        </is>
      </c>
      <c r="D771" s="734" t="inlineStr">
        <is>
          <t>Ａ</t>
        </is>
      </c>
      <c r="E771" s="933" t="n"/>
      <c r="F771" s="933" t="n"/>
      <c r="G771" s="933" t="n"/>
      <c r="H771" s="933" t="n"/>
      <c r="I771" s="933" t="n"/>
      <c r="J771" s="9" t="n"/>
      <c r="K771" s="9" t="n"/>
      <c r="L771" s="9" t="n"/>
      <c r="M771" s="9" t="n"/>
      <c r="N771" s="9" t="n"/>
      <c r="O771" s="9" t="n"/>
    </row>
    <row r="772">
      <c r="A772" s="679" t="n"/>
      <c r="B772" s="679" t="n"/>
      <c r="C772" s="314">
        <f>C760</f>
        <v/>
      </c>
      <c r="D772" s="315" t="inlineStr">
        <is>
          <t>Mpa</t>
        </is>
      </c>
      <c r="E772" s="317" t="n"/>
      <c r="F772" s="317" t="n"/>
      <c r="G772" s="317" t="n"/>
      <c r="H772" s="317" t="n"/>
      <c r="I772" s="317" t="n"/>
      <c r="J772" s="9" t="n"/>
      <c r="K772" s="9" t="n"/>
      <c r="L772" s="9" t="n"/>
      <c r="M772" s="9" t="n"/>
      <c r="N772" s="9" t="n"/>
      <c r="O772" s="9" t="n"/>
    </row>
    <row r="773">
      <c r="A773" s="679" t="n"/>
      <c r="B773" s="679" t="n"/>
      <c r="C773" s="330" t="inlineStr">
        <is>
          <t>異音、振動</t>
        </is>
      </c>
      <c r="D773" s="331" t="n"/>
      <c r="E773" s="329" t="n"/>
      <c r="F773" s="329" t="n"/>
      <c r="G773" s="329" t="n"/>
      <c r="H773" s="329" t="n"/>
      <c r="I773" s="329" t="n"/>
      <c r="J773" s="9" t="n"/>
      <c r="K773" s="9" t="n"/>
      <c r="L773" s="9" t="n"/>
      <c r="M773" s="9" t="n"/>
      <c r="N773" s="9" t="n"/>
      <c r="O773" s="9" t="n"/>
    </row>
    <row r="774">
      <c r="A774" s="679" t="n"/>
      <c r="B774" s="679" t="n"/>
      <c r="C774" s="314" t="inlineStr">
        <is>
          <t>液漏れ</t>
        </is>
      </c>
      <c r="D774" s="315" t="n"/>
      <c r="E774" s="317" t="n"/>
      <c r="F774" s="317" t="n"/>
      <c r="G774" s="317" t="n"/>
      <c r="H774" s="317" t="n"/>
      <c r="I774" s="317" t="n"/>
      <c r="J774" s="9" t="n"/>
      <c r="K774" s="9" t="n"/>
      <c r="L774" s="9" t="n"/>
      <c r="M774" s="9" t="n"/>
      <c r="N774" s="9" t="n"/>
      <c r="O774" s="9" t="n"/>
    </row>
    <row r="775">
      <c r="A775" s="679" t="n"/>
      <c r="B775" s="626" t="n"/>
      <c r="C775" s="318" t="inlineStr">
        <is>
          <t>モード確認</t>
        </is>
      </c>
      <c r="D775" s="319" t="n"/>
      <c r="E775" s="325" t="n"/>
      <c r="F775" s="325" t="n"/>
      <c r="G775" s="325" t="n"/>
      <c r="H775" s="325" t="n"/>
      <c r="I775" s="325" t="n"/>
      <c r="J775" s="9" t="n"/>
      <c r="K775" s="9" t="n"/>
      <c r="L775" s="9" t="n"/>
      <c r="M775" s="9" t="n"/>
      <c r="N775" s="9" t="n"/>
      <c r="O775" s="9" t="n"/>
    </row>
    <row r="776">
      <c r="A776" s="679" t="n"/>
      <c r="B776" s="726" t="n">
        <v>2</v>
      </c>
      <c r="C776" s="310" t="inlineStr">
        <is>
          <t>電流値</t>
        </is>
      </c>
      <c r="D776" s="734" t="inlineStr">
        <is>
          <t>Ａ</t>
        </is>
      </c>
      <c r="E776" s="933" t="n"/>
      <c r="F776" s="933" t="n"/>
      <c r="G776" s="933" t="n"/>
      <c r="H776" s="933" t="n"/>
      <c r="I776" s="933" t="n"/>
      <c r="J776" s="9" t="n"/>
      <c r="K776" s="9" t="n"/>
      <c r="L776" s="9" t="n"/>
      <c r="M776" s="9" t="n"/>
      <c r="N776" s="9" t="n"/>
      <c r="O776" s="9" t="n"/>
    </row>
    <row r="777">
      <c r="A777" s="679" t="n"/>
      <c r="B777" s="679" t="n"/>
      <c r="C777" s="314">
        <f>C772</f>
        <v/>
      </c>
      <c r="D777" s="315" t="inlineStr">
        <is>
          <t>Mpa</t>
        </is>
      </c>
      <c r="E777" s="317" t="n"/>
      <c r="F777" s="317" t="n"/>
      <c r="G777" s="317" t="n"/>
      <c r="H777" s="317" t="n"/>
      <c r="I777" s="317" t="n"/>
      <c r="J777" s="9" t="n"/>
      <c r="K777" s="9" t="n"/>
      <c r="L777" s="9" t="n"/>
      <c r="M777" s="9" t="n"/>
      <c r="N777" s="9" t="n"/>
      <c r="O777" s="9" t="n"/>
    </row>
    <row r="778">
      <c r="A778" s="679" t="n"/>
      <c r="B778" s="679" t="n"/>
      <c r="C778" s="330" t="inlineStr">
        <is>
          <t>異音、振動</t>
        </is>
      </c>
      <c r="D778" s="331" t="n"/>
      <c r="E778" s="329" t="n"/>
      <c r="F778" s="329" t="n"/>
      <c r="G778" s="329" t="n"/>
      <c r="H778" s="329" t="n"/>
      <c r="I778" s="329" t="n"/>
      <c r="J778" s="9" t="n"/>
      <c r="K778" s="9" t="n"/>
      <c r="L778" s="9" t="n"/>
      <c r="M778" s="9" t="n"/>
      <c r="N778" s="9" t="n"/>
      <c r="O778" s="9" t="n"/>
    </row>
    <row r="779">
      <c r="A779" s="679" t="n"/>
      <c r="B779" s="679" t="n"/>
      <c r="C779" s="314" t="inlineStr">
        <is>
          <t>液漏れ</t>
        </is>
      </c>
      <c r="D779" s="315" t="n"/>
      <c r="E779" s="317" t="n"/>
      <c r="F779" s="317" t="n"/>
      <c r="G779" s="317" t="n"/>
      <c r="H779" s="317" t="n"/>
      <c r="I779" s="317" t="n"/>
      <c r="J779" s="9" t="n"/>
      <c r="K779" s="9" t="n"/>
      <c r="L779" s="9" t="n"/>
      <c r="M779" s="9" t="n"/>
      <c r="N779" s="9" t="n"/>
      <c r="O779" s="9" t="n"/>
    </row>
    <row r="780">
      <c r="A780" s="626" t="n"/>
      <c r="B780" s="626" t="n"/>
      <c r="C780" s="318" t="inlineStr">
        <is>
          <t>モード確認</t>
        </is>
      </c>
      <c r="D780" s="319" t="n"/>
      <c r="E780" s="325" t="n"/>
      <c r="F780" s="325" t="n"/>
      <c r="G780" s="325" t="n"/>
      <c r="H780" s="325" t="n"/>
      <c r="I780" s="325" t="n"/>
      <c r="J780" s="9" t="n"/>
      <c r="K780" s="9" t="n"/>
      <c r="L780" s="9" t="n"/>
      <c r="M780" s="9" t="n"/>
      <c r="N780" s="9" t="n"/>
      <c r="O780" s="9" t="n"/>
    </row>
    <row r="781">
      <c r="A781" s="727" t="inlineStr">
        <is>
          <t>終沈床排水ポンプ</t>
        </is>
      </c>
      <c r="B781" s="726" t="inlineStr">
        <is>
          <t>―</t>
        </is>
      </c>
      <c r="C781" s="341" t="inlineStr">
        <is>
          <t>電流値</t>
        </is>
      </c>
      <c r="D781" s="342" t="inlineStr">
        <is>
          <t>Ａ</t>
        </is>
      </c>
      <c r="E781" s="935" t="n"/>
      <c r="F781" s="935" t="n"/>
      <c r="G781" s="935" t="n"/>
      <c r="H781" s="935" t="n"/>
      <c r="I781" s="935" t="n"/>
      <c r="J781" s="9" t="n"/>
      <c r="K781" s="9" t="n"/>
      <c r="L781" s="9" t="n"/>
      <c r="M781" s="9" t="n"/>
      <c r="N781" s="9" t="n"/>
      <c r="O781" s="9" t="n"/>
    </row>
    <row r="782">
      <c r="A782" s="679" t="n"/>
      <c r="B782" s="679" t="n"/>
      <c r="C782" s="330" t="inlineStr">
        <is>
          <t>吐出圧力</t>
        </is>
      </c>
      <c r="D782" s="331" t="inlineStr">
        <is>
          <t>Mpa</t>
        </is>
      </c>
      <c r="E782" s="329" t="n"/>
      <c r="F782" s="329" t="n"/>
      <c r="G782" s="329" t="n"/>
      <c r="H782" s="329" t="n"/>
      <c r="I782" s="329" t="n"/>
      <c r="J782" s="9" t="n"/>
      <c r="K782" s="9" t="n"/>
      <c r="L782" s="9" t="n"/>
      <c r="M782" s="9" t="n"/>
      <c r="N782" s="9" t="n"/>
      <c r="O782" s="9" t="n"/>
    </row>
    <row r="783">
      <c r="A783" s="679" t="n"/>
      <c r="B783" s="679" t="n"/>
      <c r="C783" s="314">
        <f>C778</f>
        <v/>
      </c>
      <c r="D783" s="315" t="n"/>
      <c r="E783" s="317" t="n"/>
      <c r="F783" s="317" t="n"/>
      <c r="G783" s="317" t="n"/>
      <c r="H783" s="317" t="n"/>
      <c r="I783" s="317" t="n"/>
      <c r="J783" s="9" t="n"/>
      <c r="K783" s="9" t="n"/>
      <c r="L783" s="9" t="n"/>
      <c r="M783" s="9" t="n"/>
      <c r="N783" s="9" t="n"/>
      <c r="O783" s="9" t="n"/>
    </row>
    <row r="784">
      <c r="A784" s="626" t="n"/>
      <c r="B784" s="626" t="n"/>
      <c r="C784" s="318">
        <f>C780</f>
        <v/>
      </c>
      <c r="D784" s="319" t="n"/>
      <c r="E784" s="325" t="n"/>
      <c r="F784" s="325" t="n"/>
      <c r="G784" s="325" t="n"/>
      <c r="H784" s="325" t="n"/>
      <c r="I784" s="325" t="n"/>
      <c r="J784" s="9" t="n"/>
      <c r="K784" s="9" t="n"/>
      <c r="L784" s="9" t="n"/>
      <c r="M784" s="9" t="n"/>
      <c r="N784" s="9" t="n"/>
      <c r="O784" s="9" t="n"/>
    </row>
    <row r="785">
      <c r="A785" s="727" t="inlineStr">
        <is>
          <t>返流水ポンプ</t>
        </is>
      </c>
      <c r="B785" s="728" t="inlineStr">
        <is>
          <t>№1</t>
        </is>
      </c>
      <c r="C785" s="314" t="inlineStr">
        <is>
          <t>吐出圧力</t>
        </is>
      </c>
      <c r="D785" s="315" t="inlineStr">
        <is>
          <t>Mpa</t>
        </is>
      </c>
      <c r="E785" s="317" t="n"/>
      <c r="F785" s="317" t="n"/>
      <c r="G785" s="317" t="n"/>
      <c r="H785" s="317" t="n"/>
      <c r="I785" s="317" t="n"/>
      <c r="J785" s="9" t="n"/>
      <c r="K785" s="9" t="n"/>
      <c r="L785" s="9" t="n"/>
      <c r="M785" s="9" t="n"/>
      <c r="N785" s="9" t="n"/>
      <c r="O785" s="9" t="n"/>
    </row>
    <row r="786">
      <c r="A786" s="679" t="n"/>
      <c r="B786" s="626" t="n"/>
      <c r="C786" s="318" t="inlineStr">
        <is>
          <t>異音、振動</t>
        </is>
      </c>
      <c r="D786" s="319" t="n"/>
      <c r="E786" s="321" t="n"/>
      <c r="F786" s="321" t="n"/>
      <c r="G786" s="321" t="n"/>
      <c r="H786" s="321" t="n"/>
      <c r="I786" s="321" t="n"/>
      <c r="J786" s="9" t="n"/>
      <c r="K786" s="9" t="n"/>
      <c r="L786" s="9" t="n"/>
      <c r="M786" s="9" t="n"/>
      <c r="N786" s="9" t="n"/>
      <c r="O786" s="9" t="n"/>
    </row>
    <row r="787">
      <c r="A787" s="679" t="n"/>
      <c r="B787" s="728" t="inlineStr">
        <is>
          <t>№2</t>
        </is>
      </c>
      <c r="C787" s="314">
        <f>C785</f>
        <v/>
      </c>
      <c r="D787" s="315" t="inlineStr">
        <is>
          <t>Mpa</t>
        </is>
      </c>
      <c r="E787" s="317" t="n"/>
      <c r="F787" s="317" t="n"/>
      <c r="G787" s="317" t="n"/>
      <c r="H787" s="317" t="n"/>
      <c r="I787" s="317" t="n"/>
      <c r="J787" s="9" t="n"/>
      <c r="K787" s="9" t="n"/>
      <c r="L787" s="9" t="n"/>
      <c r="M787" s="9" t="n"/>
      <c r="N787" s="9" t="n"/>
      <c r="O787" s="9" t="n"/>
    </row>
    <row r="788">
      <c r="A788" s="679" t="n"/>
      <c r="B788" s="626" t="n"/>
      <c r="C788" s="318" t="inlineStr">
        <is>
          <t>異音、振動</t>
        </is>
      </c>
      <c r="D788" s="319" t="n"/>
      <c r="E788" s="321" t="n"/>
      <c r="F788" s="321" t="n"/>
      <c r="G788" s="321" t="n"/>
      <c r="H788" s="321" t="n"/>
      <c r="I788" s="321" t="n"/>
      <c r="J788" s="9" t="n"/>
      <c r="K788" s="9" t="n"/>
      <c r="L788" s="9" t="n"/>
      <c r="M788" s="9" t="n"/>
      <c r="N788" s="9" t="n"/>
      <c r="O788" s="9" t="n"/>
    </row>
    <row r="789">
      <c r="A789" s="679" t="n"/>
      <c r="B789" s="728" t="inlineStr">
        <is>
          <t>―</t>
        </is>
      </c>
      <c r="C789" s="310" t="inlineStr">
        <is>
          <t>モード確認</t>
        </is>
      </c>
      <c r="D789" s="734" t="n"/>
      <c r="E789" s="333" t="n"/>
      <c r="F789" s="333" t="n"/>
      <c r="G789" s="333" t="n"/>
      <c r="H789" s="333" t="n"/>
      <c r="I789" s="333" t="n"/>
      <c r="J789" s="9" t="n"/>
      <c r="K789" s="9" t="n"/>
      <c r="L789" s="9" t="n"/>
      <c r="M789" s="9" t="n"/>
      <c r="N789" s="9" t="n"/>
      <c r="O789" s="9" t="n"/>
    </row>
    <row r="790" ht="18" customHeight="1">
      <c r="A790" s="626" t="n"/>
      <c r="B790" s="626" t="n"/>
      <c r="C790" s="742" t="inlineStr">
        <is>
          <t>機種選択</t>
        </is>
      </c>
      <c r="D790" s="731" t="n"/>
      <c r="E790" s="325" t="n"/>
      <c r="F790" s="325" t="n"/>
      <c r="G790" s="325" t="n"/>
      <c r="H790" s="325" t="n"/>
      <c r="I790" s="325" t="n"/>
      <c r="J790" s="9" t="n"/>
      <c r="K790" s="9" t="n"/>
      <c r="L790" s="9" t="n"/>
      <c r="M790" s="9" t="n"/>
      <c r="N790" s="9" t="n"/>
      <c r="O790" s="9" t="n"/>
    </row>
    <row r="791">
      <c r="A791" s="741" t="inlineStr">
        <is>
          <t>濃縮汚泥引抜         ポンプ</t>
        </is>
      </c>
      <c r="B791" s="726" t="n">
        <v>1</v>
      </c>
      <c r="C791" s="310" t="inlineStr">
        <is>
          <t>電流値</t>
        </is>
      </c>
      <c r="D791" s="734" t="inlineStr">
        <is>
          <t>Ａ</t>
        </is>
      </c>
      <c r="E791" s="933" t="n"/>
      <c r="F791" s="933" t="n"/>
      <c r="G791" s="933" t="n"/>
      <c r="H791" s="933" t="n"/>
      <c r="I791" s="933" t="n"/>
      <c r="J791" s="9" t="n"/>
      <c r="K791" s="9" t="n"/>
      <c r="L791" s="938" t="n"/>
      <c r="M791" s="9" t="n"/>
      <c r="N791" s="9" t="n"/>
      <c r="O791" s="9" t="n"/>
    </row>
    <row r="792">
      <c r="A792" s="679" t="n"/>
      <c r="B792" s="679" t="n"/>
      <c r="C792" s="314" t="inlineStr">
        <is>
          <t>吐出圧力</t>
        </is>
      </c>
      <c r="D792" s="315" t="inlineStr">
        <is>
          <t>Mpa</t>
        </is>
      </c>
      <c r="E792" s="323" t="n"/>
      <c r="F792" s="323" t="n"/>
      <c r="G792" s="323" t="n"/>
      <c r="H792" s="323" t="n"/>
      <c r="I792" s="323" t="n"/>
      <c r="J792" s="9" t="n"/>
      <c r="K792" s="9" t="n"/>
      <c r="L792" s="345" t="n"/>
      <c r="M792" s="9" t="n"/>
      <c r="N792" s="9" t="n"/>
      <c r="O792" s="9" t="n"/>
    </row>
    <row r="793">
      <c r="A793" s="679" t="n"/>
      <c r="B793" s="626" t="n"/>
      <c r="C793" s="318" t="inlineStr">
        <is>
          <t>異音、振動</t>
        </is>
      </c>
      <c r="D793" s="319" t="n"/>
      <c r="E793" s="325" t="n"/>
      <c r="F793" s="325" t="n"/>
      <c r="G793" s="325" t="n"/>
      <c r="H793" s="325" t="n"/>
      <c r="I793" s="325" t="n"/>
      <c r="J793" s="9" t="n"/>
      <c r="K793" s="9" t="n"/>
      <c r="L793" s="345" t="n"/>
      <c r="M793" s="9" t="n"/>
      <c r="N793" s="9" t="n"/>
      <c r="O793" s="9" t="n"/>
    </row>
    <row r="794">
      <c r="A794" s="679" t="n"/>
      <c r="B794" s="726" t="n">
        <v>2</v>
      </c>
      <c r="C794" s="310" t="inlineStr">
        <is>
          <t>電流値</t>
        </is>
      </c>
      <c r="D794" s="734" t="inlineStr">
        <is>
          <t>Ａ</t>
        </is>
      </c>
      <c r="E794" s="933" t="n"/>
      <c r="F794" s="933" t="n"/>
      <c r="G794" s="933" t="n"/>
      <c r="H794" s="933" t="n"/>
      <c r="I794" s="933" t="n"/>
      <c r="J794" s="9" t="n"/>
      <c r="K794" s="9" t="n"/>
      <c r="L794" s="9" t="n"/>
      <c r="M794" s="9" t="n"/>
      <c r="N794" s="9" t="n"/>
      <c r="O794" s="9" t="n"/>
    </row>
    <row r="795">
      <c r="A795" s="679" t="n"/>
      <c r="B795" s="679" t="n"/>
      <c r="C795" s="314" t="inlineStr">
        <is>
          <t>吐出圧力</t>
        </is>
      </c>
      <c r="D795" s="315" t="inlineStr">
        <is>
          <t>Mpa</t>
        </is>
      </c>
      <c r="E795" s="323" t="n"/>
      <c r="F795" s="323" t="n"/>
      <c r="G795" s="323" t="n"/>
      <c r="H795" s="323" t="n"/>
      <c r="I795" s="323" t="n"/>
      <c r="J795" s="9" t="n"/>
      <c r="K795" s="9" t="n"/>
      <c r="L795" s="9" t="n"/>
      <c r="M795" s="9" t="n"/>
      <c r="N795" s="9" t="n"/>
      <c r="O795" s="9" t="n"/>
    </row>
    <row r="796">
      <c r="A796" s="679" t="n"/>
      <c r="B796" s="626" t="n"/>
      <c r="C796" s="318">
        <f>C793</f>
        <v/>
      </c>
      <c r="D796" s="319" t="n"/>
      <c r="E796" s="325" t="n"/>
      <c r="F796" s="325" t="n"/>
      <c r="G796" s="325" t="n"/>
      <c r="H796" s="325" t="n"/>
      <c r="I796" s="325" t="n"/>
      <c r="J796" s="9" t="n"/>
      <c r="K796" s="9" t="n"/>
      <c r="L796" s="9" t="n"/>
      <c r="M796" s="9" t="n"/>
      <c r="N796" s="9" t="n"/>
      <c r="O796" s="9" t="n"/>
    </row>
    <row r="797">
      <c r="A797" s="679" t="n"/>
      <c r="B797" s="726" t="inlineStr">
        <is>
          <t>―</t>
        </is>
      </c>
      <c r="C797" s="310" t="inlineStr">
        <is>
          <t>モード確認</t>
        </is>
      </c>
      <c r="D797" s="734" t="n"/>
      <c r="E797" s="333" t="n"/>
      <c r="F797" s="333" t="n"/>
      <c r="G797" s="333" t="n"/>
      <c r="H797" s="333" t="n"/>
      <c r="I797" s="333" t="n"/>
      <c r="J797" s="9" t="n"/>
      <c r="K797" s="9" t="n"/>
      <c r="L797" s="9" t="n"/>
      <c r="M797" s="9" t="n"/>
      <c r="N797" s="9" t="n"/>
      <c r="O797" s="9" t="n"/>
    </row>
    <row r="798" ht="18" customHeight="1">
      <c r="A798" s="626" t="n"/>
      <c r="B798" s="626" t="n"/>
      <c r="C798" s="742" t="inlineStr">
        <is>
          <t>機種選択</t>
        </is>
      </c>
      <c r="D798" s="731" t="n"/>
      <c r="E798" s="325" t="n"/>
      <c r="F798" s="325" t="n"/>
      <c r="G798" s="325" t="n"/>
      <c r="H798" s="325" t="n"/>
      <c r="I798" s="325" t="n"/>
      <c r="J798" s="9" t="n"/>
      <c r="K798" s="9" t="n"/>
      <c r="L798" s="9" t="n"/>
      <c r="M798" s="9" t="n"/>
      <c r="N798" s="9" t="n"/>
      <c r="O798" s="9" t="n"/>
    </row>
    <row r="799">
      <c r="A799" s="741" t="inlineStr">
        <is>
          <t>濃縮汚泥引抜弁</t>
        </is>
      </c>
      <c r="B799" s="740" t="inlineStr">
        <is>
          <t>―</t>
        </is>
      </c>
      <c r="C799" s="330" t="inlineStr">
        <is>
          <t>電流値</t>
        </is>
      </c>
      <c r="D799" s="331" t="inlineStr">
        <is>
          <t>Ａ</t>
        </is>
      </c>
      <c r="E799" s="349" t="n"/>
      <c r="F799" s="349" t="n"/>
      <c r="G799" s="349" t="n"/>
      <c r="H799" s="349" t="n"/>
      <c r="I799" s="349" t="n"/>
      <c r="J799" s="9" t="n"/>
      <c r="K799" s="9" t="n"/>
      <c r="L799" s="9" t="n"/>
      <c r="M799" s="9" t="n"/>
      <c r="N799" s="9" t="n"/>
      <c r="O799" s="9" t="n"/>
    </row>
    <row r="800">
      <c r="A800" s="679" t="n"/>
      <c r="B800" s="679" t="n"/>
      <c r="C800" s="314" t="inlineStr">
        <is>
          <t>異音、振動</t>
        </is>
      </c>
      <c r="D800" s="315" t="n"/>
      <c r="E800" s="317" t="n"/>
      <c r="F800" s="317" t="n"/>
      <c r="G800" s="317" t="n"/>
      <c r="H800" s="317" t="n"/>
      <c r="I800" s="317" t="n"/>
      <c r="J800" s="9" t="n"/>
      <c r="K800" s="9" t="n"/>
      <c r="L800" s="9" t="n"/>
      <c r="M800" s="9" t="n"/>
      <c r="N800" s="9" t="n"/>
      <c r="O800" s="9" t="n"/>
    </row>
    <row r="801">
      <c r="A801" s="679" t="n"/>
      <c r="B801" s="679" t="n"/>
      <c r="C801" s="330" t="inlineStr">
        <is>
          <t>動作状況</t>
        </is>
      </c>
      <c r="D801" s="331" t="n"/>
      <c r="E801" s="329" t="n"/>
      <c r="F801" s="329" t="n"/>
      <c r="G801" s="329" t="n"/>
      <c r="H801" s="329" t="n"/>
      <c r="I801" s="329" t="n"/>
      <c r="J801" s="9" t="n"/>
      <c r="K801" s="9" t="n"/>
      <c r="L801" s="9" t="n"/>
      <c r="M801" s="9" t="n"/>
      <c r="N801" s="9" t="n"/>
      <c r="O801" s="9" t="n"/>
    </row>
    <row r="802" ht="18" customHeight="1">
      <c r="A802" s="626" t="n"/>
      <c r="B802" s="679" t="n"/>
      <c r="C802" s="742" t="inlineStr">
        <is>
          <t>モード確認</t>
        </is>
      </c>
      <c r="D802" s="731" t="n"/>
      <c r="E802" s="325" t="n"/>
      <c r="F802" s="325" t="n"/>
      <c r="G802" s="325" t="n"/>
      <c r="H802" s="325" t="n"/>
      <c r="I802" s="325" t="n"/>
      <c r="J802" s="9" t="n"/>
      <c r="K802" s="9" t="n"/>
      <c r="L802" s="76" t="n"/>
      <c r="M802" s="76" t="n"/>
      <c r="N802" s="9" t="n"/>
      <c r="O802" s="9" t="n"/>
    </row>
    <row r="803">
      <c r="A803" s="727" t="inlineStr">
        <is>
          <t>汚泥ポンプ室　　　　　床排水ポンプ</t>
        </is>
      </c>
      <c r="B803" s="726" t="inlineStr">
        <is>
          <t>―</t>
        </is>
      </c>
      <c r="C803" s="341" t="inlineStr">
        <is>
          <t>電流値</t>
        </is>
      </c>
      <c r="D803" s="342" t="inlineStr">
        <is>
          <t>Ａ</t>
        </is>
      </c>
      <c r="E803" s="935" t="n"/>
      <c r="F803" s="935" t="n"/>
      <c r="G803" s="935" t="n"/>
      <c r="H803" s="935" t="n"/>
      <c r="I803" s="935" t="n"/>
      <c r="J803" s="9" t="n"/>
      <c r="K803" s="9" t="n"/>
      <c r="L803" s="9" t="n"/>
      <c r="M803" s="9" t="n"/>
      <c r="N803" s="9" t="n"/>
      <c r="O803" s="9" t="n"/>
    </row>
    <row r="804">
      <c r="A804" s="679" t="n"/>
      <c r="B804" s="679" t="n"/>
      <c r="C804" s="330" t="inlineStr">
        <is>
          <t>吐出圧力</t>
        </is>
      </c>
      <c r="D804" s="331" t="inlineStr">
        <is>
          <t>Mpa</t>
        </is>
      </c>
      <c r="E804" s="329" t="n"/>
      <c r="F804" s="329" t="n"/>
      <c r="G804" s="329" t="n"/>
      <c r="H804" s="329" t="n"/>
      <c r="I804" s="329" t="n"/>
      <c r="J804" s="9" t="n"/>
      <c r="K804" s="9" t="n"/>
      <c r="L804" s="9" t="n"/>
      <c r="M804" s="9" t="n"/>
      <c r="N804" s="9" t="n"/>
      <c r="O804" s="9" t="n"/>
    </row>
    <row r="805">
      <c r="A805" s="679" t="n"/>
      <c r="B805" s="679" t="n"/>
      <c r="C805" s="314">
        <f>C796</f>
        <v/>
      </c>
      <c r="D805" s="315" t="n"/>
      <c r="E805" s="317" t="n"/>
      <c r="F805" s="317" t="n"/>
      <c r="G805" s="317" t="n"/>
      <c r="H805" s="317" t="n"/>
      <c r="I805" s="317" t="n"/>
      <c r="J805" s="9" t="n"/>
      <c r="K805" s="9" t="n"/>
      <c r="L805" s="9" t="n"/>
      <c r="M805" s="9" t="n"/>
      <c r="N805" s="9" t="n"/>
      <c r="O805" s="9" t="n"/>
    </row>
    <row r="806">
      <c r="A806" s="626" t="n"/>
      <c r="B806" s="626" t="n"/>
      <c r="C806" s="318" t="inlineStr">
        <is>
          <t>モード確認</t>
        </is>
      </c>
      <c r="D806" s="319" t="n"/>
      <c r="E806" s="325" t="n"/>
      <c r="F806" s="325" t="n"/>
      <c r="G806" s="325" t="n"/>
      <c r="H806" s="325" t="n"/>
      <c r="I806" s="325" t="n"/>
      <c r="J806" s="9" t="n"/>
      <c r="K806" s="9" t="n"/>
      <c r="L806" s="9" t="n"/>
      <c r="M806" s="9" t="n"/>
      <c r="N806" s="9" t="n"/>
      <c r="O806" s="9" t="n"/>
    </row>
    <row r="807">
      <c r="A807" s="756" t="inlineStr">
        <is>
          <t>濃縮汚泥掻寄機</t>
        </is>
      </c>
      <c r="B807" s="726" t="n"/>
      <c r="C807" s="341" t="inlineStr">
        <is>
          <t>電流値</t>
        </is>
      </c>
      <c r="D807" s="342" t="inlineStr">
        <is>
          <t>Ａ</t>
        </is>
      </c>
      <c r="E807" s="339" t="n"/>
      <c r="F807" s="339" t="n"/>
      <c r="G807" s="339" t="n"/>
      <c r="H807" s="339" t="n"/>
      <c r="I807" s="339" t="n"/>
      <c r="J807" s="9" t="n"/>
      <c r="K807" s="9" t="n"/>
      <c r="L807" s="9" t="n"/>
      <c r="M807" s="9" t="n"/>
      <c r="N807" s="9" t="n"/>
      <c r="O807" s="9" t="n"/>
    </row>
    <row r="808">
      <c r="A808" s="626" t="n"/>
      <c r="B808" s="626" t="n"/>
      <c r="C808" s="318" t="inlineStr">
        <is>
          <t>異音、振動</t>
        </is>
      </c>
      <c r="D808" s="319" t="n"/>
      <c r="E808" s="329" t="n"/>
      <c r="F808" s="329" t="n"/>
      <c r="G808" s="329" t="n"/>
      <c r="H808" s="329" t="n"/>
      <c r="I808" s="329" t="n"/>
      <c r="J808" s="9" t="n"/>
      <c r="K808" s="9" t="n"/>
      <c r="L808" s="9" t="n"/>
      <c r="M808" s="9" t="n"/>
      <c r="N808" s="9" t="n"/>
      <c r="O808" s="9" t="n"/>
    </row>
    <row r="809">
      <c r="A809" s="729" t="inlineStr">
        <is>
          <t>スカムスキマー</t>
        </is>
      </c>
      <c r="B809" s="726" t="n"/>
      <c r="C809" s="306" t="inlineStr">
        <is>
          <t>動作状況</t>
        </is>
      </c>
      <c r="D809" s="307" t="n"/>
      <c r="E809" s="309" t="n"/>
      <c r="F809" s="309" t="n"/>
      <c r="G809" s="309" t="n"/>
      <c r="H809" s="309" t="n"/>
      <c r="I809" s="309" t="n"/>
      <c r="J809" s="9" t="n"/>
      <c r="K809" s="9" t="n"/>
      <c r="L809" s="9" t="n"/>
      <c r="M809" s="9" t="n"/>
      <c r="N809" s="9" t="n"/>
      <c r="O809" s="9" t="n"/>
    </row>
    <row r="810">
      <c r="A810" s="741" t="inlineStr">
        <is>
          <t>汚泥供給ポンプ</t>
        </is>
      </c>
      <c r="B810" s="726" t="n">
        <v>1</v>
      </c>
      <c r="C810" s="310">
        <f>C804</f>
        <v/>
      </c>
      <c r="D810" s="734">
        <f>D804</f>
        <v/>
      </c>
      <c r="E810" s="333" t="n"/>
      <c r="F810" s="333" t="n"/>
      <c r="G810" s="333" t="n"/>
      <c r="H810" s="333" t="n"/>
      <c r="I810" s="333" t="n"/>
      <c r="J810" s="9" t="n"/>
      <c r="K810" s="9" t="n"/>
      <c r="L810" s="9" t="n"/>
      <c r="M810" s="9" t="n"/>
      <c r="N810" s="9" t="n"/>
      <c r="O810" s="9" t="n"/>
    </row>
    <row r="811">
      <c r="A811" s="679" t="n"/>
      <c r="B811" s="679" t="n"/>
      <c r="C811" s="314" t="inlineStr">
        <is>
          <t>異音、振動</t>
        </is>
      </c>
      <c r="D811" s="315" t="n"/>
      <c r="E811" s="317" t="n"/>
      <c r="F811" s="317" t="n"/>
      <c r="G811" s="317" t="n"/>
      <c r="H811" s="317" t="n"/>
      <c r="I811" s="317" t="n"/>
      <c r="J811" s="9" t="n"/>
      <c r="K811" s="9" t="n"/>
      <c r="L811" s="9" t="n"/>
      <c r="M811" s="9" t="n"/>
      <c r="N811" s="9" t="n"/>
      <c r="O811" s="9" t="n"/>
    </row>
    <row r="812">
      <c r="A812" s="679" t="n"/>
      <c r="B812" s="626" t="n"/>
      <c r="C812" s="318">
        <f>C779</f>
        <v/>
      </c>
      <c r="D812" s="319" t="n"/>
      <c r="E812" s="329" t="n"/>
      <c r="F812" s="329" t="n"/>
      <c r="G812" s="329" t="n"/>
      <c r="H812" s="329" t="n"/>
      <c r="I812" s="329" t="n"/>
      <c r="J812" s="9" t="n"/>
      <c r="K812" s="9" t="n"/>
      <c r="L812" s="9" t="n"/>
      <c r="M812" s="9" t="n"/>
      <c r="N812" s="9" t="n"/>
      <c r="O812" s="9" t="n"/>
    </row>
    <row r="813">
      <c r="A813" s="679" t="n"/>
      <c r="B813" s="726" t="n">
        <v>2</v>
      </c>
      <c r="C813" s="310">
        <f>C810</f>
        <v/>
      </c>
      <c r="D813" s="734">
        <f>D810</f>
        <v/>
      </c>
      <c r="E813" s="333" t="n"/>
      <c r="F813" s="333" t="n"/>
      <c r="G813" s="333" t="n"/>
      <c r="H813" s="333" t="n"/>
      <c r="I813" s="333" t="n"/>
      <c r="J813" s="9" t="n"/>
      <c r="K813" s="9" t="n"/>
      <c r="L813" s="9" t="n"/>
      <c r="M813" s="9" t="n"/>
      <c r="N813" s="9" t="n"/>
      <c r="O813" s="9" t="n"/>
    </row>
    <row r="814">
      <c r="A814" s="679" t="n"/>
      <c r="B814" s="679" t="n"/>
      <c r="C814" s="314">
        <f>C811</f>
        <v/>
      </c>
      <c r="D814" s="315" t="n"/>
      <c r="E814" s="317" t="n"/>
      <c r="F814" s="317" t="n"/>
      <c r="G814" s="317" t="n"/>
      <c r="H814" s="317" t="n"/>
      <c r="I814" s="317" t="n"/>
      <c r="J814" s="9" t="n"/>
      <c r="K814" s="9" t="n"/>
      <c r="L814" s="9" t="n"/>
      <c r="M814" s="9" t="n"/>
      <c r="N814" s="9" t="n"/>
      <c r="O814" s="9" t="n"/>
    </row>
    <row r="815">
      <c r="A815" s="626" t="n"/>
      <c r="B815" s="626" t="n"/>
      <c r="C815" s="318">
        <f>C812</f>
        <v/>
      </c>
      <c r="D815" s="319" t="n"/>
      <c r="E815" s="329" t="n"/>
      <c r="F815" s="329" t="n"/>
      <c r="G815" s="329" t="n"/>
      <c r="H815" s="329" t="n"/>
      <c r="I815" s="329" t="n"/>
      <c r="J815" s="9" t="n"/>
      <c r="K815" s="9" t="n"/>
      <c r="L815" s="9" t="n"/>
      <c r="M815" s="9" t="n"/>
      <c r="N815" s="9" t="n"/>
      <c r="O815" s="9" t="n"/>
    </row>
    <row r="816">
      <c r="A816" s="741" t="inlineStr">
        <is>
          <t>汚泥貯留槽攪拌機</t>
        </is>
      </c>
      <c r="B816" s="726" t="inlineStr">
        <is>
          <t>―</t>
        </is>
      </c>
      <c r="C816" s="310" t="inlineStr">
        <is>
          <t>電流値</t>
        </is>
      </c>
      <c r="D816" s="734" t="inlineStr">
        <is>
          <t>Ａ</t>
        </is>
      </c>
      <c r="E816" s="933" t="n"/>
      <c r="F816" s="933" t="n"/>
      <c r="G816" s="933" t="n"/>
      <c r="H816" s="933" t="n"/>
      <c r="I816" s="933" t="n"/>
      <c r="J816" s="9" t="n"/>
      <c r="K816" s="9" t="n"/>
      <c r="L816" s="9" t="n"/>
      <c r="M816" s="9" t="n"/>
      <c r="N816" s="9" t="n"/>
      <c r="O816" s="9" t="n"/>
    </row>
    <row r="817">
      <c r="A817" s="679" t="n"/>
      <c r="B817" s="679" t="n"/>
      <c r="C817" s="314">
        <f>C814</f>
        <v/>
      </c>
      <c r="D817" s="315" t="n"/>
      <c r="E817" s="317" t="n"/>
      <c r="F817" s="317" t="n"/>
      <c r="G817" s="317" t="n"/>
      <c r="H817" s="317" t="n"/>
      <c r="I817" s="317" t="n"/>
      <c r="J817" s="9" t="n"/>
      <c r="K817" s="9" t="n"/>
      <c r="L817" s="9" t="n"/>
      <c r="M817" s="9" t="n"/>
      <c r="N817" s="9" t="n"/>
      <c r="O817" s="9" t="n"/>
    </row>
    <row r="818">
      <c r="A818" s="626" t="n"/>
      <c r="B818" s="626" t="n"/>
      <c r="C818" s="318" t="inlineStr">
        <is>
          <t>モード確認</t>
        </is>
      </c>
      <c r="D818" s="319" t="n"/>
      <c r="E818" s="329" t="n"/>
      <c r="F818" s="329" t="n"/>
      <c r="G818" s="329" t="n"/>
      <c r="H818" s="329" t="n"/>
      <c r="I818" s="329" t="n"/>
      <c r="J818" s="9" t="n"/>
      <c r="K818" s="9" t="n"/>
      <c r="L818" s="9" t="n"/>
      <c r="M818" s="9" t="n"/>
      <c r="N818" s="9" t="n"/>
      <c r="O818" s="9" t="n"/>
    </row>
    <row r="819">
      <c r="A819" s="741" t="inlineStr">
        <is>
          <t>空気圧縮機</t>
        </is>
      </c>
      <c r="B819" s="726" t="inlineStr">
        <is>
          <t>―</t>
        </is>
      </c>
      <c r="C819" s="310" t="inlineStr">
        <is>
          <t>異音、振動等</t>
        </is>
      </c>
      <c r="D819" s="734" t="n"/>
      <c r="E819" s="327" t="n"/>
      <c r="F819" s="327" t="n"/>
      <c r="G819" s="327" t="n"/>
      <c r="H819" s="327" t="n"/>
      <c r="I819" s="327" t="n"/>
      <c r="J819" s="9" t="n"/>
      <c r="K819" s="9" t="n"/>
      <c r="L819" s="9" t="n"/>
      <c r="M819" s="9" t="n"/>
      <c r="N819" s="9" t="n"/>
      <c r="O819" s="9" t="n"/>
    </row>
    <row r="820">
      <c r="A820" s="626" t="n"/>
      <c r="B820" s="626" t="n"/>
      <c r="C820" s="334" t="inlineStr">
        <is>
          <t>安全弁等の動作確認</t>
        </is>
      </c>
      <c r="D820" s="335" t="n"/>
      <c r="E820" s="325" t="n"/>
      <c r="F820" s="325" t="n"/>
      <c r="G820" s="325" t="n"/>
      <c r="H820" s="325" t="n"/>
      <c r="I820" s="325" t="n"/>
      <c r="J820" s="9" t="n"/>
      <c r="K820" s="9" t="n"/>
      <c r="L820" s="9" t="n"/>
      <c r="M820" s="9" t="n"/>
      <c r="N820" s="9" t="n"/>
      <c r="O820" s="9" t="n"/>
    </row>
    <row r="821" ht="18" customHeight="1">
      <c r="A821" s="747" t="inlineStr">
        <is>
          <t xml:space="preserve">　○：良　　△：要注意　　×：要修理</t>
        </is>
      </c>
      <c r="B821" s="586" t="n"/>
      <c r="C821" s="586" t="n"/>
      <c r="D821" s="586" t="n"/>
      <c r="E821" s="586" t="n"/>
      <c r="F821" s="586" t="n"/>
      <c r="G821" s="586" t="n"/>
      <c r="H821" s="586" t="n"/>
      <c r="I821" s="586" t="n"/>
      <c r="J821" s="9" t="n"/>
      <c r="K821" s="9" t="n"/>
      <c r="L821" s="9" t="n"/>
      <c r="M821" s="9" t="n"/>
      <c r="N821" s="9" t="n"/>
      <c r="O821" s="9" t="n"/>
    </row>
    <row r="822">
      <c r="A822" s="353" t="n"/>
      <c r="B822" s="354" t="n"/>
      <c r="C822" s="353" t="n"/>
      <c r="D822" s="355" t="n"/>
      <c r="E822" s="356" t="n"/>
      <c r="F822" s="356" t="n"/>
      <c r="G822" s="356" t="n"/>
      <c r="H822" s="356" t="n"/>
      <c r="I822" s="356" t="n"/>
      <c r="J822" s="9" t="n"/>
      <c r="K822" s="9" t="n"/>
      <c r="L822" s="9" t="n"/>
      <c r="M822" s="9" t="n"/>
      <c r="N822" s="9" t="n"/>
      <c r="O822" s="9" t="n"/>
    </row>
    <row r="823">
      <c r="A823" s="357" t="n"/>
      <c r="B823" s="355" t="n"/>
      <c r="C823" s="357" t="n"/>
      <c r="D823" s="355" t="n"/>
      <c r="E823" s="356" t="n"/>
      <c r="F823" s="356" t="n"/>
      <c r="G823" s="356" t="n"/>
      <c r="H823" s="356" t="n"/>
      <c r="I823" s="356" t="n"/>
      <c r="J823" s="9" t="n"/>
      <c r="K823" s="9" t="n"/>
      <c r="L823" s="9" t="n"/>
      <c r="M823" s="9" t="n"/>
      <c r="N823" s="9" t="n"/>
      <c r="O823" s="9" t="n"/>
    </row>
    <row r="824" ht="22" customHeight="1">
      <c r="A824" s="299" t="inlineStr">
        <is>
          <t>機械設備日常点検表（３/３）</t>
        </is>
      </c>
      <c r="B824" s="594" t="n"/>
      <c r="C824" s="300" t="n"/>
      <c r="D824" s="594" t="n"/>
      <c r="E824" s="594" t="n"/>
      <c r="F824" s="594" t="n"/>
      <c r="G824" s="594" t="n"/>
      <c r="H824" s="300">
        <f>H708</f>
        <v/>
      </c>
      <c r="I824" s="594" t="n"/>
      <c r="J824" s="9" t="n"/>
      <c r="K824" s="9" t="n"/>
      <c r="L824" s="9" t="n"/>
      <c r="M824" s="9" t="n"/>
      <c r="N824" s="9" t="n"/>
      <c r="O824" s="9" t="n"/>
    </row>
    <row r="825" ht="18" customHeight="1">
      <c r="A825" s="726" t="inlineStr">
        <is>
          <t>機　器　名</t>
        </is>
      </c>
      <c r="B825" s="726" t="inlineStr">
        <is>
          <t>No</t>
        </is>
      </c>
      <c r="C825" s="726" t="inlineStr">
        <is>
          <t>点 検 者</t>
        </is>
      </c>
      <c r="D825" s="580" t="n"/>
      <c r="E825" s="726">
        <f>E709</f>
        <v/>
      </c>
      <c r="F825" s="726">
        <f>F709</f>
        <v/>
      </c>
      <c r="G825" s="726" t="n"/>
      <c r="H825" s="726" t="n"/>
      <c r="I825" s="726" t="n"/>
      <c r="J825" s="9" t="n"/>
      <c r="K825" s="9" t="n"/>
      <c r="L825" s="9" t="n"/>
      <c r="M825" s="9" t="n"/>
      <c r="N825" s="9" t="n"/>
      <c r="O825" s="9" t="n"/>
    </row>
    <row r="826" ht="18" customHeight="1">
      <c r="A826" s="626" t="n"/>
      <c r="B826" s="626" t="n"/>
      <c r="C826" s="726" t="inlineStr">
        <is>
          <t>点検内容</t>
        </is>
      </c>
      <c r="D826" s="580" t="n"/>
      <c r="E826" s="931">
        <f>E710</f>
        <v/>
      </c>
      <c r="F826" s="931">
        <f>F710</f>
        <v/>
      </c>
      <c r="G826" s="931" t="n"/>
      <c r="H826" s="931" t="n"/>
      <c r="I826" s="931" t="n"/>
      <c r="J826" s="9" t="n"/>
      <c r="K826" s="9" t="n"/>
      <c r="L826" s="9" t="n"/>
      <c r="M826" s="9" t="n"/>
      <c r="N826" s="9" t="n"/>
      <c r="O826" s="9" t="n"/>
    </row>
    <row r="827" ht="15" customHeight="1">
      <c r="A827" s="358" t="inlineStr">
        <is>
          <t>井水揚水ポンプ</t>
        </is>
      </c>
      <c r="B827" s="336" t="inlineStr">
        <is>
          <t>―</t>
        </is>
      </c>
      <c r="C827" s="330" t="inlineStr">
        <is>
          <t>異音、振動等</t>
        </is>
      </c>
      <c r="D827" s="331" t="n"/>
      <c r="E827" s="317" t="n"/>
      <c r="F827" s="317" t="n"/>
      <c r="G827" s="317" t="n"/>
      <c r="H827" s="317" t="n"/>
      <c r="I827" s="317" t="n"/>
      <c r="J827" s="9" t="n"/>
      <c r="K827" s="9" t="n"/>
      <c r="L827" s="9" t="n"/>
      <c r="M827" s="9" t="n"/>
      <c r="N827" s="9" t="n"/>
      <c r="O827" s="9" t="n"/>
    </row>
    <row r="828">
      <c r="A828" s="727" t="inlineStr">
        <is>
          <t>自動給水装置</t>
        </is>
      </c>
      <c r="B828" s="726" t="n">
        <v>1</v>
      </c>
      <c r="C828" s="310" t="inlineStr">
        <is>
          <t>電流値</t>
        </is>
      </c>
      <c r="D828" s="734" t="inlineStr">
        <is>
          <t>Ａ</t>
        </is>
      </c>
      <c r="E828" s="933" t="n"/>
      <c r="F828" s="933" t="n"/>
      <c r="G828" s="933" t="n"/>
      <c r="H828" s="933" t="n"/>
      <c r="I828" s="933" t="n"/>
      <c r="J828" s="9" t="n"/>
      <c r="K828" s="9" t="n"/>
      <c r="L828" s="9" t="n"/>
      <c r="M828" s="9" t="n"/>
      <c r="N828" s="9" t="n"/>
      <c r="O828" s="9" t="n"/>
    </row>
    <row r="829">
      <c r="A829" s="679" t="n"/>
      <c r="B829" s="626" t="n"/>
      <c r="C829" s="334" t="inlineStr">
        <is>
          <t>異音、振動等</t>
        </is>
      </c>
      <c r="D829" s="335" t="n"/>
      <c r="E829" s="325" t="n"/>
      <c r="F829" s="325" t="n"/>
      <c r="G829" s="325" t="n"/>
      <c r="H829" s="325" t="n"/>
      <c r="I829" s="325" t="n"/>
      <c r="J829" s="9" t="n"/>
      <c r="K829" s="9" t="n"/>
      <c r="L829" s="9" t="n"/>
      <c r="M829" s="9" t="n"/>
      <c r="N829" s="9" t="n"/>
      <c r="O829" s="9" t="n"/>
    </row>
    <row r="830">
      <c r="A830" s="679" t="n"/>
      <c r="B830" s="726" t="n">
        <v>2</v>
      </c>
      <c r="C830" s="310" t="inlineStr">
        <is>
          <t>電流値</t>
        </is>
      </c>
      <c r="D830" s="734" t="inlineStr">
        <is>
          <t>Ａ</t>
        </is>
      </c>
      <c r="E830" s="933" t="n"/>
      <c r="F830" s="933" t="n"/>
      <c r="G830" s="933" t="n"/>
      <c r="H830" s="933" t="n"/>
      <c r="I830" s="933" t="n"/>
      <c r="J830" s="9" t="n"/>
      <c r="K830" s="9" t="n"/>
      <c r="L830" s="9" t="n"/>
      <c r="M830" s="9" t="n"/>
      <c r="N830" s="9" t="n"/>
      <c r="O830" s="9" t="n"/>
    </row>
    <row r="831">
      <c r="A831" s="679" t="n"/>
      <c r="B831" s="626" t="n"/>
      <c r="C831" s="334" t="inlineStr">
        <is>
          <t>異音、振動等</t>
        </is>
      </c>
      <c r="D831" s="335" t="n"/>
      <c r="E831" s="325" t="n"/>
      <c r="F831" s="325" t="n"/>
      <c r="G831" s="325" t="n"/>
      <c r="H831" s="325" t="n"/>
      <c r="I831" s="325" t="n"/>
      <c r="J831" s="9" t="n"/>
      <c r="K831" s="9" t="n"/>
      <c r="L831" s="9" t="n"/>
      <c r="M831" s="9" t="n"/>
      <c r="N831" s="9" t="n"/>
      <c r="O831" s="9" t="n"/>
    </row>
    <row r="832">
      <c r="A832" s="626" t="n"/>
      <c r="B832" s="336" t="inlineStr">
        <is>
          <t>―</t>
        </is>
      </c>
      <c r="C832" s="310" t="inlineStr">
        <is>
          <t>モード確認</t>
        </is>
      </c>
      <c r="D832" s="734" t="n"/>
      <c r="E832" s="309" t="n"/>
      <c r="F832" s="309" t="n"/>
      <c r="G832" s="309" t="n"/>
      <c r="H832" s="309" t="n"/>
      <c r="I832" s="309" t="n"/>
      <c r="J832" s="9" t="n"/>
      <c r="K832" s="9" t="n"/>
      <c r="L832" s="9" t="n"/>
      <c r="M832" s="9" t="n"/>
      <c r="N832" s="9" t="n"/>
      <c r="O832" s="9" t="n"/>
    </row>
    <row r="833">
      <c r="A833" s="729" t="inlineStr">
        <is>
          <t>井水貯留槽</t>
        </is>
      </c>
      <c r="B833" s="726" t="inlineStr">
        <is>
          <t>―</t>
        </is>
      </c>
      <c r="C833" s="306" t="inlineStr">
        <is>
          <t>水漏れ</t>
        </is>
      </c>
      <c r="D833" s="307" t="n"/>
      <c r="E833" s="329" t="n"/>
      <c r="F833" s="329" t="n"/>
      <c r="G833" s="329" t="n"/>
      <c r="H833" s="329" t="n"/>
      <c r="I833" s="329" t="n"/>
      <c r="J833" s="9" t="n"/>
      <c r="K833" s="9" t="n"/>
      <c r="L833" s="9" t="n"/>
      <c r="M833" s="9" t="n"/>
      <c r="N833" s="9" t="n"/>
      <c r="O833" s="9" t="n"/>
    </row>
    <row r="834" ht="18" customHeight="1">
      <c r="A834" s="729" t="inlineStr">
        <is>
          <t>混和池ＢＧ</t>
        </is>
      </c>
      <c r="B834" s="726" t="inlineStr">
        <is>
          <t>―</t>
        </is>
      </c>
      <c r="C834" s="729" t="inlineStr">
        <is>
          <t>開閉</t>
        </is>
      </c>
      <c r="D834" s="580" t="n"/>
      <c r="E834" s="309" t="n"/>
      <c r="F834" s="309" t="n"/>
      <c r="G834" s="309" t="n"/>
      <c r="H834" s="309" t="n"/>
      <c r="I834" s="309" t="n"/>
      <c r="J834" s="9" t="n"/>
      <c r="K834" s="76" t="n"/>
      <c r="L834" s="76" t="n"/>
      <c r="M834" s="9" t="n"/>
      <c r="N834" s="9" t="n"/>
      <c r="O834" s="9" t="n"/>
    </row>
    <row r="835">
      <c r="A835" s="359" t="inlineStr">
        <is>
          <t>塩素接触装置</t>
        </is>
      </c>
      <c r="B835" s="726" t="inlineStr">
        <is>
          <t>―</t>
        </is>
      </c>
      <c r="C835" s="306" t="inlineStr">
        <is>
          <t>薬剤残量確認</t>
        </is>
      </c>
      <c r="D835" s="307" t="n"/>
      <c r="E835" s="323" t="n"/>
      <c r="F835" s="323" t="n"/>
      <c r="G835" s="323" t="n"/>
      <c r="H835" s="323" t="n"/>
      <c r="I835" s="323" t="n"/>
      <c r="J835" s="9" t="n"/>
      <c r="K835" s="9" t="n"/>
      <c r="L835" s="9" t="n"/>
      <c r="M835" s="9" t="n"/>
      <c r="N835" s="9" t="n"/>
      <c r="O835" s="9" t="n"/>
    </row>
    <row r="836" ht="18" customHeight="1">
      <c r="A836" s="727" t="inlineStr">
        <is>
          <t>臭気ガス吸引装置</t>
        </is>
      </c>
      <c r="B836" s="733" t="inlineStr">
        <is>
          <t>―</t>
        </is>
      </c>
      <c r="C836" s="735" t="inlineStr">
        <is>
          <t>ボルト・ナットの緩み</t>
        </is>
      </c>
      <c r="D836" s="736" t="n"/>
      <c r="E836" s="327" t="n"/>
      <c r="F836" s="327" t="n"/>
      <c r="G836" s="327" t="n"/>
      <c r="H836" s="327" t="n"/>
      <c r="I836" s="327" t="n"/>
      <c r="J836" s="9" t="n"/>
      <c r="K836" s="9" t="n"/>
      <c r="L836" s="9" t="n"/>
      <c r="M836" s="9" t="n"/>
      <c r="N836" s="9" t="n"/>
      <c r="O836" s="9" t="n"/>
    </row>
    <row r="837" ht="18" customHeight="1">
      <c r="A837" s="626" t="n"/>
      <c r="B837" s="626" t="n"/>
      <c r="C837" s="732" t="inlineStr">
        <is>
          <t>モード確認</t>
        </is>
      </c>
      <c r="D837" s="591" t="n"/>
      <c r="E837" s="329" t="n"/>
      <c r="F837" s="329" t="n"/>
      <c r="G837" s="329" t="n"/>
      <c r="H837" s="329" t="n"/>
      <c r="I837" s="329" t="n"/>
      <c r="J837" s="9" t="n"/>
      <c r="K837" s="76" t="n"/>
      <c r="L837" s="76" t="n"/>
      <c r="M837" s="76" t="n"/>
      <c r="N837" s="9" t="n"/>
      <c r="O837" s="9" t="n"/>
    </row>
    <row r="838" ht="18" customHeight="1">
      <c r="A838" s="729" t="inlineStr">
        <is>
          <t>吸着脱装置</t>
        </is>
      </c>
      <c r="B838" s="726" t="inlineStr">
        <is>
          <t>―</t>
        </is>
      </c>
      <c r="C838" s="751" t="inlineStr">
        <is>
          <t>マノメータ等の作動確認</t>
        </is>
      </c>
      <c r="D838" s="746" t="n"/>
      <c r="E838" s="333" t="n"/>
      <c r="F838" s="333" t="n"/>
      <c r="G838" s="333" t="n"/>
      <c r="H838" s="333" t="n"/>
      <c r="I838" s="333" t="n"/>
      <c r="J838" s="9" t="n"/>
      <c r="K838" s="9" t="n"/>
      <c r="L838" s="9" t="n"/>
      <c r="M838" s="9" t="n"/>
      <c r="N838" s="9" t="n"/>
      <c r="O838" s="9" t="n"/>
    </row>
    <row r="839" ht="18" customHeight="1">
      <c r="A839" s="626" t="n"/>
      <c r="B839" s="626" t="n"/>
      <c r="C839" s="730">
        <f>C836</f>
        <v/>
      </c>
      <c r="D839" s="731" t="n"/>
      <c r="E839" s="325" t="n"/>
      <c r="F839" s="325" t="n"/>
      <c r="G839" s="325" t="n"/>
      <c r="H839" s="325" t="n"/>
      <c r="I839" s="325" t="n"/>
      <c r="J839" s="9" t="n"/>
      <c r="K839" s="76" t="n"/>
      <c r="L839" s="76" t="n"/>
      <c r="M839" s="76" t="n"/>
      <c r="N839" s="9" t="n"/>
      <c r="O839" s="9" t="n"/>
    </row>
    <row r="840">
      <c r="A840" s="741" t="inlineStr">
        <is>
          <t>電気室給気ファン</t>
        </is>
      </c>
      <c r="B840" s="726" t="inlineStr">
        <is>
          <t>―</t>
        </is>
      </c>
      <c r="C840" s="360" t="inlineStr">
        <is>
          <t>電流値</t>
        </is>
      </c>
      <c r="D840" s="734" t="inlineStr">
        <is>
          <t>Ａ</t>
        </is>
      </c>
      <c r="E840" s="933" t="n"/>
      <c r="F840" s="933" t="n"/>
      <c r="G840" s="933" t="n"/>
      <c r="H840" s="933" t="n"/>
      <c r="I840" s="933" t="n"/>
      <c r="J840" s="9" t="n"/>
      <c r="K840" s="9" t="n"/>
      <c r="L840" s="9" t="n"/>
      <c r="M840" s="9" t="n"/>
      <c r="N840" s="9" t="n"/>
      <c r="O840" s="9" t="n"/>
    </row>
    <row r="841" ht="18" customHeight="1">
      <c r="A841" s="679" t="n"/>
      <c r="B841" s="679" t="n"/>
      <c r="C841" s="735" t="inlineStr">
        <is>
          <t>異音、振動等</t>
        </is>
      </c>
      <c r="D841" s="736" t="n"/>
      <c r="E841" s="317" t="n"/>
      <c r="F841" s="317" t="n"/>
      <c r="G841" s="317" t="n"/>
      <c r="H841" s="317" t="n"/>
      <c r="I841" s="317" t="n"/>
      <c r="J841" s="9" t="n"/>
      <c r="K841" s="9" t="n"/>
      <c r="L841" s="9" t="n"/>
      <c r="M841" s="9" t="n"/>
      <c r="N841" s="9" t="n"/>
      <c r="O841" s="9" t="n"/>
    </row>
    <row r="842" ht="18" customHeight="1">
      <c r="A842" s="626" t="n"/>
      <c r="B842" s="626" t="n"/>
      <c r="C842" s="732" t="inlineStr">
        <is>
          <t>モード確認</t>
        </is>
      </c>
      <c r="D842" s="591" t="n"/>
      <c r="E842" s="321" t="n"/>
      <c r="F842" s="321" t="n"/>
      <c r="G842" s="321" t="n"/>
      <c r="H842" s="321" t="n"/>
      <c r="I842" s="321" t="n"/>
      <c r="J842" s="9" t="n"/>
      <c r="K842" s="9" t="n"/>
      <c r="L842" s="9" t="n"/>
      <c r="M842" s="9" t="n"/>
      <c r="N842" s="9" t="n"/>
      <c r="O842" s="9" t="n"/>
    </row>
    <row r="843">
      <c r="A843" s="741" t="inlineStr">
        <is>
          <t>電気室排気ファン</t>
        </is>
      </c>
      <c r="B843" s="726" t="inlineStr">
        <is>
          <t>―</t>
        </is>
      </c>
      <c r="C843" s="360" t="inlineStr">
        <is>
          <t>電流値</t>
        </is>
      </c>
      <c r="D843" s="734" t="inlineStr">
        <is>
          <t>Ａ</t>
        </is>
      </c>
      <c r="E843" s="933" t="n"/>
      <c r="F843" s="933" t="n"/>
      <c r="G843" s="933" t="n"/>
      <c r="H843" s="933" t="n"/>
      <c r="I843" s="933" t="n"/>
      <c r="J843" s="9" t="n"/>
      <c r="K843" s="9" t="n"/>
      <c r="L843" s="9" t="n"/>
      <c r="M843" s="9" t="n"/>
      <c r="N843" s="9" t="n"/>
      <c r="O843" s="9" t="n"/>
    </row>
    <row r="844" ht="18" customHeight="1">
      <c r="A844" s="679" t="n"/>
      <c r="B844" s="679" t="n"/>
      <c r="C844" s="735" t="inlineStr">
        <is>
          <t>異音、振動等</t>
        </is>
      </c>
      <c r="D844" s="736" t="n"/>
      <c r="E844" s="317" t="n"/>
      <c r="F844" s="317" t="n"/>
      <c r="G844" s="317" t="n"/>
      <c r="H844" s="317" t="n"/>
      <c r="I844" s="317" t="n"/>
      <c r="J844" s="9" t="n"/>
      <c r="K844" s="9" t="n"/>
      <c r="L844" s="9" t="n"/>
      <c r="M844" s="9" t="n"/>
      <c r="N844" s="9" t="n"/>
      <c r="O844" s="9" t="n"/>
    </row>
    <row r="845" ht="18" customHeight="1">
      <c r="A845" s="626" t="n"/>
      <c r="B845" s="626" t="n"/>
      <c r="C845" s="732" t="inlineStr">
        <is>
          <t>モード確認</t>
        </is>
      </c>
      <c r="D845" s="591" t="n"/>
      <c r="E845" s="321" t="n"/>
      <c r="F845" s="321" t="n"/>
      <c r="G845" s="321" t="n"/>
      <c r="H845" s="321" t="n"/>
      <c r="I845" s="321" t="n"/>
      <c r="J845" s="9" t="n"/>
      <c r="K845" s="9" t="n"/>
      <c r="L845" s="9" t="n"/>
      <c r="M845" s="9" t="n"/>
      <c r="N845" s="9" t="n"/>
      <c r="O845" s="9" t="n"/>
    </row>
    <row r="846">
      <c r="A846" s="729" t="inlineStr">
        <is>
          <t>自家発室給気ファン</t>
        </is>
      </c>
      <c r="B846" s="726" t="inlineStr">
        <is>
          <t>―</t>
        </is>
      </c>
      <c r="C846" s="341" t="inlineStr">
        <is>
          <t>異音、振動</t>
        </is>
      </c>
      <c r="D846" s="342" t="n"/>
      <c r="E846" s="317" t="n"/>
      <c r="F846" s="317" t="n"/>
      <c r="G846" s="317" t="n"/>
      <c r="H846" s="317" t="n"/>
      <c r="I846" s="317" t="n"/>
      <c r="J846" s="9" t="n"/>
      <c r="K846" s="9" t="n"/>
      <c r="L846" s="9" t="n"/>
      <c r="M846" s="9" t="n"/>
      <c r="N846" s="9" t="n"/>
      <c r="O846" s="9" t="n"/>
    </row>
    <row r="847">
      <c r="A847" s="626" t="n"/>
      <c r="B847" s="626" t="n"/>
      <c r="C847" s="334" t="inlineStr">
        <is>
          <t>モード確認</t>
        </is>
      </c>
      <c r="D847" s="335" t="n"/>
      <c r="E847" s="323" t="n"/>
      <c r="F847" s="323" t="n"/>
      <c r="G847" s="323" t="n"/>
      <c r="H847" s="323" t="n"/>
      <c r="I847" s="323" t="n"/>
      <c r="J847" s="9" t="n"/>
      <c r="K847" s="76" t="n"/>
      <c r="L847" s="76" t="n"/>
      <c r="M847" s="9" t="n"/>
      <c r="N847" s="9" t="n"/>
      <c r="O847" s="9" t="n"/>
    </row>
    <row r="848">
      <c r="A848" s="727" t="inlineStr">
        <is>
          <t>汚泥ポンプ室排気  ファン</t>
        </is>
      </c>
      <c r="B848" s="726" t="inlineStr">
        <is>
          <t>―</t>
        </is>
      </c>
      <c r="C848" s="361" t="inlineStr">
        <is>
          <t>電流値</t>
        </is>
      </c>
      <c r="D848" s="331" t="inlineStr">
        <is>
          <t>Ａ</t>
        </is>
      </c>
      <c r="E848" s="933" t="n"/>
      <c r="F848" s="933" t="n"/>
      <c r="G848" s="933" t="n"/>
      <c r="H848" s="933" t="n"/>
      <c r="I848" s="933" t="n"/>
      <c r="J848" s="9" t="n"/>
      <c r="K848" s="76" t="n"/>
      <c r="L848" s="76" t="n"/>
      <c r="M848" s="9" t="n"/>
      <c r="N848" s="9" t="n"/>
      <c r="O848" s="9" t="n"/>
    </row>
    <row r="849" ht="13.5" customHeight="1">
      <c r="A849" s="679" t="n"/>
      <c r="B849" s="679" t="n"/>
      <c r="C849" s="314" t="inlineStr">
        <is>
          <t>異音、振動</t>
        </is>
      </c>
      <c r="D849" s="315" t="n"/>
      <c r="E849" s="317" t="n"/>
      <c r="F849" s="317" t="n"/>
      <c r="G849" s="317" t="n"/>
      <c r="H849" s="317" t="n"/>
      <c r="I849" s="317" t="n"/>
      <c r="J849" s="9" t="n"/>
      <c r="K849" s="9" t="n"/>
      <c r="L849" s="9" t="n"/>
      <c r="M849" s="9" t="n"/>
      <c r="N849" s="9" t="n"/>
      <c r="O849" s="9" t="n"/>
    </row>
    <row r="850">
      <c r="A850" s="626" t="n"/>
      <c r="B850" s="626" t="n"/>
      <c r="C850" s="362" t="inlineStr">
        <is>
          <t>モード確認</t>
        </is>
      </c>
      <c r="D850" s="363" t="n"/>
      <c r="E850" s="323" t="n"/>
      <c r="F850" s="323" t="n"/>
      <c r="G850" s="323" t="n"/>
      <c r="H850" s="323" t="n"/>
      <c r="I850" s="323" t="n"/>
      <c r="J850" s="9" t="n"/>
      <c r="K850" s="9" t="n"/>
      <c r="L850" s="9" t="n"/>
      <c r="M850" s="9" t="n"/>
      <c r="N850" s="9" t="n"/>
      <c r="O850" s="9" t="n"/>
    </row>
    <row r="851">
      <c r="A851" s="727" t="inlineStr">
        <is>
          <t>汚泥ポンプ室吸気ファン</t>
        </is>
      </c>
      <c r="B851" s="733" t="inlineStr">
        <is>
          <t>―</t>
        </is>
      </c>
      <c r="C851" s="364" t="inlineStr">
        <is>
          <t>電流値</t>
        </is>
      </c>
      <c r="D851" s="342" t="inlineStr">
        <is>
          <t>Ａ</t>
        </is>
      </c>
      <c r="E851" s="935" t="n"/>
      <c r="F851" s="935" t="n"/>
      <c r="G851" s="935" t="n"/>
      <c r="H851" s="935" t="n"/>
      <c r="I851" s="935" t="n"/>
      <c r="J851" s="9" t="n"/>
      <c r="K851" s="9" t="n"/>
      <c r="L851" s="9" t="n"/>
      <c r="M851" s="9" t="n"/>
      <c r="N851" s="9" t="n"/>
      <c r="O851" s="9" t="n"/>
    </row>
    <row r="852" ht="13.5" customHeight="1">
      <c r="A852" s="679" t="n"/>
      <c r="B852" s="679" t="n"/>
      <c r="C852" s="365" t="inlineStr">
        <is>
          <t>異音、振動</t>
        </is>
      </c>
      <c r="D852" s="366" t="n"/>
      <c r="E852" s="368" t="n"/>
      <c r="F852" s="368" t="n"/>
      <c r="G852" s="368" t="n"/>
      <c r="H852" s="368" t="n"/>
      <c r="I852" s="368" t="n"/>
      <c r="J852" s="9" t="n"/>
      <c r="K852" s="9" t="n"/>
      <c r="L852" s="9" t="n"/>
      <c r="M852" s="9" t="n"/>
      <c r="N852" s="9" t="n"/>
      <c r="O852" s="9" t="n"/>
    </row>
    <row r="853">
      <c r="A853" s="626" t="n"/>
      <c r="B853" s="626" t="n"/>
      <c r="C853" s="362" t="inlineStr">
        <is>
          <t>モード確認</t>
        </is>
      </c>
      <c r="D853" s="363" t="n"/>
      <c r="E853" s="323" t="n"/>
      <c r="F853" s="323" t="n"/>
      <c r="G853" s="323" t="n"/>
      <c r="H853" s="323" t="n"/>
      <c r="I853" s="323" t="n"/>
      <c r="J853" s="9" t="n"/>
      <c r="K853" s="9" t="n"/>
      <c r="L853" s="9" t="n"/>
      <c r="M853" s="9" t="n"/>
      <c r="N853" s="9" t="n"/>
      <c r="O853" s="9" t="n"/>
    </row>
    <row r="854">
      <c r="A854" s="727" t="inlineStr">
        <is>
          <t>脱水作業室排気ファン</t>
        </is>
      </c>
      <c r="B854" s="726" t="inlineStr">
        <is>
          <t>―</t>
        </is>
      </c>
      <c r="C854" s="364" t="inlineStr">
        <is>
          <t>電流値</t>
        </is>
      </c>
      <c r="D854" s="342" t="inlineStr">
        <is>
          <t>Ａ</t>
        </is>
      </c>
      <c r="E854" s="935" t="n"/>
      <c r="F854" s="935" t="n"/>
      <c r="G854" s="935" t="n"/>
      <c r="H854" s="935" t="n"/>
      <c r="I854" s="935" t="n"/>
      <c r="J854" s="9" t="n"/>
      <c r="K854" s="9" t="n"/>
      <c r="L854" s="9" t="n"/>
      <c r="M854" s="9" t="n"/>
      <c r="N854" s="9" t="n"/>
      <c r="O854" s="9" t="n"/>
    </row>
    <row r="855" ht="13.5" customHeight="1">
      <c r="A855" s="679" t="n"/>
      <c r="B855" s="679" t="n"/>
      <c r="C855" s="365" t="inlineStr">
        <is>
          <t>異音、振動</t>
        </is>
      </c>
      <c r="D855" s="366" t="n"/>
      <c r="E855" s="368" t="n"/>
      <c r="F855" s="368" t="n"/>
      <c r="G855" s="368" t="n"/>
      <c r="H855" s="368" t="n"/>
      <c r="I855" s="368" t="n"/>
      <c r="J855" s="9" t="n"/>
      <c r="K855" s="9" t="n"/>
      <c r="L855" s="9" t="n"/>
      <c r="M855" s="9" t="n"/>
      <c r="N855" s="9" t="n"/>
      <c r="O855" s="9" t="n"/>
    </row>
    <row r="856">
      <c r="A856" s="626" t="n"/>
      <c r="B856" s="626" t="n"/>
      <c r="C856" s="334" t="inlineStr">
        <is>
          <t>モード確認</t>
        </is>
      </c>
      <c r="D856" s="335" t="n"/>
      <c r="E856" s="323" t="n"/>
      <c r="F856" s="323" t="n"/>
      <c r="G856" s="323" t="n"/>
      <c r="H856" s="323" t="n"/>
      <c r="I856" s="323" t="n"/>
      <c r="J856" s="9" t="n"/>
      <c r="K856" s="9" t="n"/>
      <c r="L856" s="9" t="n"/>
      <c r="M856" s="9" t="n"/>
      <c r="N856" s="9" t="n"/>
      <c r="O856" s="9" t="n"/>
    </row>
    <row r="857" ht="13.5" customHeight="1">
      <c r="A857" s="727" t="inlineStr">
        <is>
          <t>脱水作業室吸気ファン</t>
        </is>
      </c>
      <c r="B857" s="726" t="inlineStr">
        <is>
          <t>―</t>
        </is>
      </c>
      <c r="C857" s="364" t="inlineStr">
        <is>
          <t>電流値</t>
        </is>
      </c>
      <c r="D857" s="342" t="inlineStr">
        <is>
          <t>Ａ</t>
        </is>
      </c>
      <c r="E857" s="935" t="n"/>
      <c r="F857" s="935" t="n"/>
      <c r="G857" s="935" t="n"/>
      <c r="H857" s="935" t="n"/>
      <c r="I857" s="935" t="n"/>
      <c r="J857" s="9" t="n"/>
      <c r="K857" s="9" t="n"/>
      <c r="L857" s="9" t="n"/>
      <c r="M857" s="9" t="n"/>
      <c r="N857" s="9" t="n"/>
      <c r="O857" s="9" t="n"/>
    </row>
    <row r="858" ht="13.5" customHeight="1">
      <c r="A858" s="679" t="n"/>
      <c r="B858" s="679" t="n"/>
      <c r="C858" s="365" t="inlineStr">
        <is>
          <t>異音、振動</t>
        </is>
      </c>
      <c r="D858" s="366" t="n"/>
      <c r="E858" s="368" t="n"/>
      <c r="F858" s="368" t="n"/>
      <c r="G858" s="368" t="n"/>
      <c r="H858" s="368" t="n"/>
      <c r="I858" s="368" t="n"/>
      <c r="J858" s="9" t="n"/>
      <c r="K858" s="9" t="n"/>
      <c r="L858" s="9" t="n"/>
      <c r="M858" s="9" t="n"/>
      <c r="N858" s="9" t="n"/>
      <c r="O858" s="9" t="n"/>
    </row>
    <row r="859">
      <c r="A859" s="626" t="n"/>
      <c r="B859" s="626" t="n"/>
      <c r="C859" s="334" t="inlineStr">
        <is>
          <t>モード確認</t>
        </is>
      </c>
      <c r="D859" s="335" t="n"/>
      <c r="E859" s="323" t="n"/>
      <c r="F859" s="323" t="n"/>
      <c r="G859" s="323" t="n"/>
      <c r="H859" s="323" t="n"/>
      <c r="I859" s="323" t="n"/>
      <c r="J859" s="9" t="n"/>
      <c r="K859" s="9" t="n"/>
      <c r="L859" s="9" t="n"/>
      <c r="M859" s="9" t="n"/>
      <c r="N859" s="9" t="n"/>
      <c r="O859" s="9" t="n"/>
    </row>
    <row r="860">
      <c r="A860" s="727" t="inlineStr">
        <is>
          <t>脱臭機械室排気ファン</t>
        </is>
      </c>
      <c r="B860" s="726" t="inlineStr">
        <is>
          <t>―</t>
        </is>
      </c>
      <c r="C860" s="364" t="inlineStr">
        <is>
          <t>電流値</t>
        </is>
      </c>
      <c r="D860" s="342" t="inlineStr">
        <is>
          <t>Ａ</t>
        </is>
      </c>
      <c r="E860" s="935" t="n"/>
      <c r="F860" s="935" t="n"/>
      <c r="G860" s="935" t="n"/>
      <c r="H860" s="935" t="n"/>
      <c r="I860" s="935" t="n"/>
      <c r="J860" s="9" t="n"/>
      <c r="K860" s="9" t="n"/>
      <c r="L860" s="9" t="n"/>
      <c r="M860" s="9" t="n"/>
      <c r="N860" s="9" t="n"/>
      <c r="O860" s="9" t="n"/>
    </row>
    <row r="861" ht="13.5" customHeight="1">
      <c r="A861" s="679" t="n"/>
      <c r="B861" s="679" t="n"/>
      <c r="C861" s="365" t="inlineStr">
        <is>
          <t>異音、振動</t>
        </is>
      </c>
      <c r="D861" s="366" t="n"/>
      <c r="E861" s="368" t="n"/>
      <c r="F861" s="368" t="n"/>
      <c r="G861" s="368" t="n"/>
      <c r="H861" s="368" t="n"/>
      <c r="I861" s="368" t="n"/>
      <c r="J861" s="9" t="n"/>
      <c r="K861" s="9" t="n"/>
      <c r="L861" s="9" t="n"/>
      <c r="M861" s="9" t="n"/>
      <c r="N861" s="9" t="n"/>
      <c r="O861" s="9" t="n"/>
    </row>
    <row r="862">
      <c r="A862" s="626" t="n"/>
      <c r="B862" s="626" t="n"/>
      <c r="C862" s="334" t="inlineStr">
        <is>
          <t>モード確認</t>
        </is>
      </c>
      <c r="D862" s="335" t="n"/>
      <c r="E862" s="323" t="n"/>
      <c r="F862" s="323" t="n"/>
      <c r="G862" s="323" t="n"/>
      <c r="H862" s="323" t="n"/>
      <c r="I862" s="323" t="n"/>
      <c r="J862" s="9" t="n"/>
      <c r="K862" s="9" t="n"/>
      <c r="L862" s="9" t="n"/>
      <c r="M862" s="9" t="n"/>
      <c r="N862" s="9" t="n"/>
      <c r="O862" s="9" t="n"/>
    </row>
    <row r="863">
      <c r="A863" s="727" t="inlineStr">
        <is>
          <t>脱臭機械室吸気ファン</t>
        </is>
      </c>
      <c r="B863" s="726" t="inlineStr">
        <is>
          <t>―</t>
        </is>
      </c>
      <c r="C863" s="364" t="inlineStr">
        <is>
          <t>電流値</t>
        </is>
      </c>
      <c r="D863" s="342" t="inlineStr">
        <is>
          <t>Ａ</t>
        </is>
      </c>
      <c r="E863" s="935" t="n"/>
      <c r="F863" s="935" t="n"/>
      <c r="G863" s="935" t="n"/>
      <c r="H863" s="935" t="n"/>
      <c r="I863" s="935" t="n"/>
      <c r="J863" s="9" t="n"/>
      <c r="K863" s="9" t="n"/>
      <c r="L863" s="9" t="n"/>
      <c r="M863" s="9" t="n"/>
      <c r="N863" s="9" t="n"/>
      <c r="O863" s="9" t="n"/>
    </row>
    <row r="864" ht="13.5" customHeight="1">
      <c r="A864" s="679" t="n"/>
      <c r="B864" s="679" t="n"/>
      <c r="C864" s="365" t="inlineStr">
        <is>
          <t>異音、振動</t>
        </is>
      </c>
      <c r="D864" s="366" t="n"/>
      <c r="E864" s="368" t="n"/>
      <c r="F864" s="368" t="n"/>
      <c r="G864" s="368" t="n"/>
      <c r="H864" s="368" t="n"/>
      <c r="I864" s="368" t="n"/>
      <c r="J864" s="9" t="n"/>
      <c r="K864" s="9" t="n"/>
      <c r="L864" s="9" t="n"/>
      <c r="M864" s="9" t="n"/>
      <c r="N864" s="9" t="n"/>
      <c r="O864" s="9" t="n"/>
    </row>
    <row r="865">
      <c r="A865" s="626" t="n"/>
      <c r="B865" s="626" t="n"/>
      <c r="C865" s="334" t="inlineStr">
        <is>
          <t>モード確認</t>
        </is>
      </c>
      <c r="D865" s="335" t="n"/>
      <c r="E865" s="325" t="n"/>
      <c r="F865" s="325" t="n"/>
      <c r="G865" s="325" t="n"/>
      <c r="H865" s="325" t="n"/>
      <c r="I865" s="325" t="n"/>
      <c r="J865" s="9" t="n"/>
      <c r="K865" s="9" t="n"/>
      <c r="L865" s="9" t="n"/>
      <c r="M865" s="9" t="n"/>
      <c r="N865" s="9" t="n"/>
      <c r="O865" s="9" t="n"/>
    </row>
    <row r="866">
      <c r="A866" s="748" t="inlineStr">
        <is>
          <t>終沈ポンプ室排気ファン</t>
        </is>
      </c>
      <c r="B866" s="726" t="inlineStr">
        <is>
          <t>―</t>
        </is>
      </c>
      <c r="C866" s="364" t="inlineStr">
        <is>
          <t>電流値</t>
        </is>
      </c>
      <c r="D866" s="342" t="inlineStr">
        <is>
          <t>Ａ</t>
        </is>
      </c>
      <c r="E866" s="935" t="n"/>
      <c r="F866" s="935" t="n"/>
      <c r="G866" s="935" t="n"/>
      <c r="H866" s="935" t="n"/>
      <c r="I866" s="935" t="n"/>
      <c r="J866" s="9" t="n"/>
      <c r="K866" s="9" t="n"/>
      <c r="L866" s="9" t="n"/>
      <c r="M866" s="9" t="n"/>
      <c r="N866" s="9" t="n"/>
      <c r="O866" s="9" t="n"/>
    </row>
    <row r="867" ht="13.5" customHeight="1">
      <c r="A867" s="679" t="n"/>
      <c r="B867" s="679" t="n"/>
      <c r="C867" s="330" t="inlineStr">
        <is>
          <t>異音、振動</t>
        </is>
      </c>
      <c r="D867" s="331" t="n"/>
      <c r="E867" s="329" t="n"/>
      <c r="F867" s="329" t="n"/>
      <c r="G867" s="329" t="n"/>
      <c r="H867" s="329" t="n"/>
      <c r="I867" s="329" t="n"/>
      <c r="J867" s="9" t="n"/>
      <c r="K867" s="9" t="n"/>
      <c r="L867" s="9" t="n"/>
      <c r="M867" s="9" t="n"/>
      <c r="N867" s="9" t="n"/>
      <c r="O867" s="9" t="n"/>
    </row>
    <row r="868">
      <c r="A868" s="626" t="n"/>
      <c r="B868" s="626" t="n"/>
      <c r="C868" s="334" t="inlineStr">
        <is>
          <t>モード確認</t>
        </is>
      </c>
      <c r="D868" s="335" t="n"/>
      <c r="E868" s="325" t="n"/>
      <c r="F868" s="325" t="n"/>
      <c r="G868" s="325" t="n"/>
      <c r="H868" s="325" t="n"/>
      <c r="I868" s="325" t="n"/>
      <c r="J868" s="9" t="n"/>
      <c r="K868" s="9" t="n"/>
      <c r="L868" s="9" t="n"/>
      <c r="M868" s="9" t="n"/>
      <c r="N868" s="9" t="n"/>
      <c r="O868" s="9" t="n"/>
    </row>
    <row r="869">
      <c r="A869" s="727" t="inlineStr">
        <is>
          <t>終沈ポンプ室吸気ファン</t>
        </is>
      </c>
      <c r="B869" s="726" t="inlineStr">
        <is>
          <t>―</t>
        </is>
      </c>
      <c r="C869" s="364" t="inlineStr">
        <is>
          <t>電流値</t>
        </is>
      </c>
      <c r="D869" s="342" t="inlineStr">
        <is>
          <t>Ａ</t>
        </is>
      </c>
      <c r="E869" s="935" t="n"/>
      <c r="F869" s="935" t="n"/>
      <c r="G869" s="935" t="n"/>
      <c r="H869" s="935" t="n"/>
      <c r="I869" s="935" t="n"/>
      <c r="J869" s="9" t="n"/>
      <c r="K869" s="9" t="n"/>
      <c r="L869" s="9" t="n"/>
      <c r="M869" s="9" t="n"/>
      <c r="N869" s="9" t="n"/>
      <c r="O869" s="9" t="n"/>
    </row>
    <row r="870" ht="13.5" customHeight="1">
      <c r="A870" s="679" t="n"/>
      <c r="B870" s="679" t="n"/>
      <c r="C870" s="330" t="inlineStr">
        <is>
          <t>異音、振動</t>
        </is>
      </c>
      <c r="D870" s="331" t="n"/>
      <c r="E870" s="329" t="n"/>
      <c r="F870" s="329" t="n"/>
      <c r="G870" s="329" t="n"/>
      <c r="H870" s="329" t="n"/>
      <c r="I870" s="329" t="n"/>
      <c r="J870" s="9" t="n"/>
      <c r="K870" s="9" t="n"/>
      <c r="L870" s="9" t="n"/>
      <c r="M870" s="9" t="n"/>
      <c r="N870" s="9" t="n"/>
      <c r="O870" s="9" t="n"/>
    </row>
    <row r="871">
      <c r="A871" s="626" t="n"/>
      <c r="B871" s="626" t="n"/>
      <c r="C871" s="334" t="inlineStr">
        <is>
          <t>モード確認</t>
        </is>
      </c>
      <c r="D871" s="335" t="n"/>
      <c r="E871" s="325" t="n"/>
      <c r="F871" s="325" t="n"/>
      <c r="G871" s="325" t="n"/>
      <c r="H871" s="325" t="n"/>
      <c r="I871" s="325" t="n"/>
      <c r="J871" s="9" t="n"/>
      <c r="K871" s="9" t="n"/>
      <c r="L871" s="9" t="n"/>
      <c r="M871" s="9" t="n"/>
      <c r="N871" s="9" t="n"/>
      <c r="O871" s="9" t="n"/>
    </row>
    <row r="872" ht="13.5" customHeight="1">
      <c r="A872" s="727" t="inlineStr">
        <is>
          <t>自動巻取型エア     フィルター</t>
        </is>
      </c>
      <c r="B872" s="750" t="inlineStr">
        <is>
          <t>―</t>
        </is>
      </c>
      <c r="C872" s="753" t="inlineStr">
        <is>
          <t>巻取完了表示点灯確認</t>
        </is>
      </c>
      <c r="D872" s="587" t="n"/>
      <c r="E872" s="333" t="n"/>
      <c r="F872" s="333" t="n"/>
      <c r="G872" s="333" t="n"/>
      <c r="H872" s="333" t="n"/>
      <c r="I872" s="333" t="n"/>
      <c r="J872" s="9" t="n"/>
      <c r="K872" s="9" t="n"/>
      <c r="L872" s="9" t="n"/>
      <c r="M872" s="9" t="n"/>
      <c r="N872" s="9" t="n"/>
      <c r="O872" s="9" t="n"/>
    </row>
    <row r="873">
      <c r="A873" s="679" t="n"/>
      <c r="C873" s="314" t="inlineStr">
        <is>
          <t>差圧</t>
        </is>
      </c>
      <c r="D873" s="315" t="inlineStr">
        <is>
          <t>Pa</t>
        </is>
      </c>
      <c r="E873" s="317" t="n"/>
      <c r="F873" s="317" t="n"/>
      <c r="G873" s="317" t="n"/>
      <c r="H873" s="317" t="n"/>
      <c r="I873" s="317" t="n"/>
      <c r="J873" s="9" t="n"/>
      <c r="K873" s="9" t="n"/>
      <c r="L873" s="9" t="n"/>
      <c r="M873" s="9" t="n"/>
      <c r="N873" s="9" t="n"/>
      <c r="O873" s="9" t="n"/>
    </row>
    <row r="874">
      <c r="A874" s="679" t="n"/>
      <c r="C874" s="314" t="inlineStr">
        <is>
          <t>モード確認</t>
        </is>
      </c>
      <c r="D874" s="315" t="n"/>
      <c r="E874" s="329" t="n"/>
      <c r="F874" s="329" t="n"/>
      <c r="G874" s="329" t="n"/>
      <c r="H874" s="329" t="n"/>
      <c r="I874" s="329" t="n"/>
      <c r="J874" s="9" t="n"/>
      <c r="K874" s="76" t="n"/>
      <c r="L874" s="76" t="n"/>
      <c r="M874" s="76" t="n"/>
      <c r="N874" s="9" t="n"/>
      <c r="O874" s="9" t="n"/>
    </row>
    <row r="875">
      <c r="A875" s="626" t="n"/>
      <c r="B875" s="598" t="n"/>
      <c r="C875" s="318" t="inlineStr">
        <is>
          <t>設定</t>
        </is>
      </c>
      <c r="D875" s="319" t="n"/>
      <c r="E875" s="325" t="n"/>
      <c r="F875" s="325" t="n"/>
      <c r="G875" s="325" t="n"/>
      <c r="H875" s="325" t="n"/>
      <c r="I875" s="325" t="n"/>
      <c r="J875" s="9" t="n"/>
      <c r="K875" s="369" t="n"/>
      <c r="L875" s="76" t="n"/>
      <c r="M875" s="9" t="n"/>
      <c r="N875" s="9" t="n"/>
      <c r="O875" s="9" t="n"/>
    </row>
    <row r="876" ht="18" customHeight="1">
      <c r="A876" s="370" t="inlineStr">
        <is>
          <t>備　　　考</t>
        </is>
      </c>
      <c r="B876" s="734" t="n"/>
      <c r="C876" s="586" t="n"/>
      <c r="D876" s="586" t="n"/>
      <c r="E876" s="586" t="n"/>
      <c r="F876" s="586" t="n"/>
      <c r="G876" s="586" t="n"/>
      <c r="H876" s="586" t="n"/>
      <c r="I876" s="587" t="n"/>
      <c r="J876" s="9" t="n"/>
      <c r="K876" s="9" t="n"/>
      <c r="L876" s="9" t="n"/>
      <c r="M876" s="9" t="n"/>
      <c r="N876" s="9" t="n"/>
      <c r="O876" s="9" t="n"/>
    </row>
    <row r="877" ht="13.5" customHeight="1">
      <c r="A877" s="752" t="n"/>
      <c r="D877" s="357" t="n"/>
      <c r="E877" s="371" t="n"/>
      <c r="F877" s="372" t="n"/>
      <c r="G877" s="372" t="n"/>
      <c r="H877" s="372" t="n"/>
      <c r="I877" s="373" t="n"/>
      <c r="J877" s="9" t="n"/>
      <c r="K877" s="9" t="n"/>
      <c r="L877" s="9" t="n"/>
      <c r="M877" s="9" t="n"/>
      <c r="N877" s="9" t="n"/>
      <c r="O877" s="9" t="n"/>
    </row>
    <row r="878">
      <c r="A878" s="737" t="n"/>
      <c r="F878" s="372" t="n"/>
      <c r="G878" s="372" t="n"/>
      <c r="H878" s="372" t="n"/>
      <c r="I878" s="373" t="n"/>
      <c r="J878" s="9" t="n"/>
      <c r="K878" s="9" t="n"/>
      <c r="L878" s="9" t="n"/>
      <c r="M878" s="9" t="n"/>
      <c r="N878" s="9" t="n"/>
      <c r="O878" s="9" t="n"/>
    </row>
    <row r="879">
      <c r="A879" s="405" t="n"/>
      <c r="B879" s="406" t="n"/>
      <c r="C879" s="406" t="n"/>
      <c r="D879" s="406" t="n"/>
      <c r="E879" s="407" t="n"/>
      <c r="F879" s="372" t="n"/>
      <c r="G879" s="372" t="n"/>
      <c r="H879" s="372" t="n"/>
      <c r="I879" s="373" t="n"/>
      <c r="J879" s="9" t="n"/>
      <c r="K879" s="9" t="n"/>
      <c r="L879" s="9" t="n"/>
      <c r="M879" s="9" t="n"/>
      <c r="N879" s="9" t="n"/>
      <c r="O879" s="9" t="n"/>
    </row>
    <row r="880">
      <c r="A880" s="374" t="n"/>
      <c r="B880" s="375" t="n"/>
      <c r="C880" s="375" t="n"/>
      <c r="D880" s="375" t="n"/>
      <c r="E880" s="372" t="n"/>
      <c r="F880" s="372" t="n"/>
      <c r="G880" s="372" t="n"/>
      <c r="H880" s="372" t="n"/>
      <c r="I880" s="373" t="n"/>
      <c r="J880" s="9" t="n"/>
      <c r="K880" s="9" t="n"/>
      <c r="L880" s="9" t="n"/>
      <c r="M880" s="9" t="n"/>
      <c r="N880" s="9" t="n"/>
      <c r="O880" s="9" t="n"/>
    </row>
    <row r="881">
      <c r="A881" s="374" t="n"/>
      <c r="B881" s="375" t="n"/>
      <c r="C881" s="375" t="n"/>
      <c r="D881" s="375" t="n"/>
      <c r="E881" s="372" t="n"/>
      <c r="F881" s="372" t="n"/>
      <c r="G881" s="372" t="n"/>
      <c r="H881" s="372" t="n"/>
      <c r="I881" s="373" t="n"/>
      <c r="J881" s="9" t="n"/>
      <c r="K881" s="9" t="n"/>
      <c r="L881" s="9" t="n"/>
      <c r="M881" s="9" t="n"/>
      <c r="N881" s="9" t="n"/>
      <c r="O881" s="9" t="n"/>
    </row>
    <row r="882">
      <c r="A882" s="374" t="n"/>
      <c r="B882" s="375" t="n"/>
      <c r="C882" s="375" t="n"/>
      <c r="D882" s="375" t="n"/>
      <c r="E882" s="372" t="n"/>
      <c r="F882" s="372" t="n"/>
      <c r="G882" s="372" t="n"/>
      <c r="H882" s="372" t="n"/>
      <c r="I882" s="373" t="n"/>
      <c r="J882" s="9" t="n"/>
      <c r="K882" s="9" t="n"/>
      <c r="L882" s="9" t="n"/>
      <c r="M882" s="9" t="n"/>
      <c r="N882" s="9" t="n"/>
      <c r="O882" s="9" t="n"/>
    </row>
    <row r="883">
      <c r="A883" s="376" t="n"/>
      <c r="B883" s="377" t="n"/>
      <c r="C883" s="377" t="n"/>
      <c r="D883" s="377" t="n"/>
      <c r="E883" s="378" t="n"/>
      <c r="F883" s="378" t="n"/>
      <c r="G883" s="378" t="n"/>
      <c r="H883" s="378" t="n"/>
      <c r="I883" s="379" t="n"/>
      <c r="J883" s="9" t="n"/>
      <c r="K883" s="9" t="n"/>
      <c r="L883" s="9" t="n"/>
      <c r="M883" s="9" t="n"/>
      <c r="N883" s="9" t="n"/>
      <c r="O883" s="9" t="n"/>
    </row>
    <row r="884" ht="18" customHeight="1">
      <c r="A884" s="747" t="inlineStr">
        <is>
          <t xml:space="preserve">　○：良　　△：要注意　　×：要修理</t>
        </is>
      </c>
      <c r="B884" s="586" t="n"/>
      <c r="C884" s="586" t="n"/>
      <c r="D884" s="586" t="n"/>
      <c r="E884" s="586" t="n"/>
      <c r="F884" s="586" t="n"/>
      <c r="G884" s="586" t="n"/>
      <c r="H884" s="586" t="n"/>
      <c r="I884" s="586" t="n"/>
      <c r="J884" s="9" t="n"/>
      <c r="K884" s="9" t="n"/>
      <c r="L884" s="9" t="n"/>
      <c r="M884" s="9" t="n"/>
      <c r="N884" s="9" t="n"/>
      <c r="O884" s="9" t="n"/>
    </row>
    <row r="885">
      <c r="A885" s="408" t="n"/>
      <c r="B885" s="369" t="n"/>
      <c r="C885" s="369" t="n"/>
      <c r="D885" s="9" t="n"/>
      <c r="E885" s="345" t="n"/>
      <c r="F885" s="345" t="n"/>
      <c r="G885" s="345" t="n"/>
      <c r="H885" s="345" t="n"/>
      <c r="I885" s="345" t="n"/>
      <c r="J885" s="9" t="n"/>
      <c r="K885" s="9" t="n"/>
      <c r="L885" s="9" t="n"/>
      <c r="M885" s="9" t="n"/>
      <c r="N885" s="9" t="n"/>
      <c r="O885" s="9" t="n"/>
    </row>
    <row r="886">
      <c r="A886" s="369" t="n"/>
      <c r="B886" s="345" t="n"/>
      <c r="C886" s="409" t="n"/>
      <c r="D886" s="9" t="n"/>
      <c r="E886" s="345" t="n"/>
      <c r="F886" s="345" t="n"/>
      <c r="G886" s="345" t="n"/>
      <c r="H886" s="345" t="n"/>
      <c r="I886" s="345" t="n"/>
      <c r="J886" s="9" t="n"/>
      <c r="K886" s="9" t="n"/>
      <c r="L886" s="9" t="n"/>
      <c r="M886" s="9" t="n"/>
      <c r="N886" s="9" t="n"/>
      <c r="O886" s="9" t="n"/>
    </row>
    <row r="887">
      <c r="A887" s="9" t="n"/>
      <c r="B887" s="9" t="n"/>
      <c r="C887" s="369" t="n"/>
      <c r="D887" s="9" t="n"/>
      <c r="E887" s="345" t="n"/>
      <c r="F887" s="345" t="n"/>
      <c r="G887" s="345" t="n"/>
      <c r="H887" s="345" t="n"/>
      <c r="I887" s="345" t="n"/>
      <c r="J887" s="9" t="n"/>
      <c r="K887" s="9" t="n"/>
      <c r="L887" s="9" t="n"/>
      <c r="M887" s="9" t="n"/>
      <c r="N887" s="9" t="n"/>
      <c r="O887" s="9" t="n"/>
    </row>
    <row r="888">
      <c r="A888" s="408" t="n"/>
      <c r="B888" s="345" t="n"/>
      <c r="C888" s="369" t="n"/>
      <c r="D888" s="345" t="n"/>
      <c r="E888" s="345" t="n"/>
      <c r="F888" s="345" t="n"/>
      <c r="G888" s="345" t="n"/>
      <c r="H888" s="345" t="n"/>
      <c r="I888" s="345" t="n"/>
      <c r="J888" s="9" t="n"/>
      <c r="K888" s="9" t="n"/>
      <c r="L888" s="9" t="n"/>
      <c r="M888" s="9" t="n"/>
      <c r="N888" s="9" t="n"/>
      <c r="O888" s="9" t="n"/>
    </row>
    <row r="889">
      <c r="A889" s="9" t="n"/>
      <c r="B889" s="9" t="n"/>
      <c r="C889" s="369" t="n"/>
      <c r="D889" s="9" t="n"/>
      <c r="E889" s="345" t="n"/>
      <c r="F889" s="345" t="n"/>
      <c r="G889" s="345" t="n"/>
      <c r="H889" s="345" t="n"/>
      <c r="I889" s="345" t="n"/>
      <c r="J889" s="9" t="n"/>
      <c r="K889" s="9" t="n"/>
      <c r="L889" s="9" t="n"/>
      <c r="M889" s="9" t="n"/>
      <c r="N889" s="9" t="n"/>
      <c r="O889" s="9" t="n"/>
    </row>
    <row r="890">
      <c r="A890" s="9" t="n"/>
      <c r="B890" s="9" t="n"/>
      <c r="C890" s="369" t="n"/>
      <c r="D890" s="9" t="n"/>
      <c r="E890" s="345" t="n"/>
      <c r="F890" s="345" t="n"/>
      <c r="G890" s="345" t="n"/>
      <c r="H890" s="345" t="n"/>
      <c r="I890" s="345" t="n"/>
      <c r="J890" s="9" t="n"/>
      <c r="K890" s="9" t="n"/>
      <c r="L890" s="9" t="n"/>
      <c r="M890" s="9" t="n"/>
      <c r="N890" s="9" t="n"/>
      <c r="O890" s="9" t="n"/>
    </row>
    <row r="891">
      <c r="A891" s="408" t="n"/>
      <c r="B891" s="345" t="n"/>
      <c r="C891" s="369" t="n"/>
      <c r="D891" s="345" t="n"/>
      <c r="E891" s="345" t="n"/>
      <c r="F891" s="345" t="n"/>
      <c r="G891" s="345" t="n"/>
      <c r="H891" s="345" t="n"/>
      <c r="I891" s="345" t="n"/>
      <c r="J891" s="9" t="n"/>
      <c r="K891" s="9" t="n"/>
      <c r="L891" s="9" t="n"/>
      <c r="M891" s="9" t="n"/>
      <c r="N891" s="9" t="n"/>
      <c r="O891" s="9" t="n"/>
    </row>
    <row r="892">
      <c r="A892" s="9" t="n"/>
      <c r="B892" s="9" t="n"/>
      <c r="C892" s="369" t="n"/>
      <c r="D892" s="9" t="n"/>
      <c r="E892" s="345" t="n"/>
      <c r="F892" s="345" t="n"/>
      <c r="G892" s="345" t="n"/>
      <c r="H892" s="345" t="n"/>
      <c r="I892" s="345" t="n"/>
      <c r="J892" s="9" t="n"/>
      <c r="K892" s="9" t="n"/>
      <c r="L892" s="9" t="n"/>
      <c r="M892" s="9" t="n"/>
      <c r="N892" s="9" t="n"/>
      <c r="O892" s="9" t="n"/>
    </row>
    <row r="893">
      <c r="A893" s="9" t="n"/>
      <c r="B893" s="9" t="n"/>
      <c r="C893" s="369" t="n"/>
      <c r="D893" s="9" t="n"/>
      <c r="E893" s="345" t="n"/>
      <c r="F893" s="345" t="n"/>
      <c r="G893" s="345" t="n"/>
      <c r="H893" s="345" t="n"/>
      <c r="I893" s="345" t="n"/>
      <c r="J893" s="9" t="n"/>
      <c r="K893" s="9" t="n"/>
      <c r="L893" s="9" t="n"/>
      <c r="M893" s="9" t="n"/>
      <c r="N893" s="9" t="n"/>
      <c r="O893" s="9" t="n"/>
    </row>
    <row r="894">
      <c r="A894" s="369" t="n"/>
      <c r="B894" s="345" t="n"/>
      <c r="C894" s="369" t="n"/>
      <c r="D894" s="345" t="n"/>
      <c r="E894" s="345" t="n"/>
      <c r="F894" s="345" t="n"/>
      <c r="G894" s="345" t="n"/>
      <c r="H894" s="345" t="n"/>
      <c r="I894" s="345" t="n"/>
      <c r="J894" s="9" t="n"/>
      <c r="K894" s="9" t="n"/>
      <c r="L894" s="9" t="n"/>
      <c r="M894" s="9" t="n"/>
      <c r="N894" s="9" t="n"/>
      <c r="O894" s="9" t="n"/>
    </row>
    <row r="895">
      <c r="A895" s="9" t="n"/>
      <c r="B895" s="9" t="n"/>
      <c r="C895" s="369" t="n"/>
      <c r="D895" s="345" t="n"/>
      <c r="E895" s="345" t="n"/>
      <c r="F895" s="345" t="n"/>
      <c r="G895" s="345" t="n"/>
      <c r="H895" s="345" t="n"/>
      <c r="I895" s="345" t="n"/>
      <c r="J895" s="9" t="n"/>
      <c r="K895" s="9" t="n"/>
      <c r="L895" s="9" t="n"/>
      <c r="M895" s="9" t="n"/>
      <c r="N895" s="9" t="n"/>
      <c r="O895" s="9" t="n"/>
    </row>
    <row r="896">
      <c r="A896" s="369" t="n"/>
      <c r="B896" s="345" t="n"/>
      <c r="C896" s="369" t="n"/>
      <c r="D896" s="345" t="n"/>
      <c r="E896" s="345" t="n"/>
      <c r="F896" s="345" t="n"/>
      <c r="G896" s="345" t="n"/>
      <c r="H896" s="345" t="n"/>
      <c r="I896" s="345" t="n"/>
      <c r="J896" s="9" t="n"/>
      <c r="K896" s="9" t="n"/>
      <c r="L896" s="9" t="n"/>
      <c r="M896" s="9" t="n"/>
      <c r="N896" s="9" t="n"/>
      <c r="O896" s="9" t="n"/>
    </row>
    <row r="897">
      <c r="A897" s="9" t="n"/>
      <c r="B897" s="9" t="n"/>
      <c r="C897" s="369" t="n"/>
      <c r="D897" s="345" t="n"/>
      <c r="E897" s="345" t="n"/>
      <c r="F897" s="345" t="n"/>
      <c r="G897" s="345" t="n"/>
      <c r="H897" s="345" t="n"/>
      <c r="I897" s="345" t="n"/>
      <c r="J897" s="9" t="n"/>
      <c r="K897" s="9" t="n"/>
      <c r="L897" s="9" t="n"/>
      <c r="M897" s="9" t="n"/>
      <c r="N897" s="9" t="n"/>
      <c r="O897" s="9" t="n"/>
    </row>
    <row r="898">
      <c r="A898" s="408" t="n"/>
      <c r="B898" s="345" t="n"/>
      <c r="C898" s="369" t="n"/>
      <c r="D898" s="345" t="n"/>
      <c r="E898" s="345" t="n"/>
      <c r="F898" s="345" t="n"/>
      <c r="G898" s="345" t="n"/>
      <c r="H898" s="345" t="n"/>
      <c r="I898" s="345" t="n"/>
      <c r="J898" s="9" t="n"/>
      <c r="K898" s="9" t="n"/>
      <c r="L898" s="9" t="n"/>
      <c r="M898" s="9" t="n"/>
      <c r="N898" s="9" t="n"/>
      <c r="O898" s="9" t="n"/>
    </row>
    <row r="899">
      <c r="A899" s="9" t="n"/>
      <c r="B899" s="9" t="n"/>
      <c r="C899" s="369" t="n"/>
      <c r="D899" s="345" t="n"/>
      <c r="E899" s="345" t="n"/>
      <c r="F899" s="345" t="n"/>
      <c r="G899" s="345" t="n"/>
      <c r="H899" s="345" t="n"/>
      <c r="I899" s="345" t="n"/>
      <c r="J899" s="9" t="n"/>
      <c r="K899" s="9" t="n"/>
      <c r="L899" s="9" t="n"/>
      <c r="M899" s="9" t="n"/>
      <c r="N899" s="9" t="n"/>
      <c r="O899" s="9" t="n"/>
    </row>
    <row r="900">
      <c r="A900" s="369" t="n"/>
      <c r="B900" s="345" t="n"/>
      <c r="C900" s="369" t="n"/>
      <c r="D900" s="345" t="n"/>
      <c r="E900" s="345" t="n"/>
      <c r="F900" s="345" t="n"/>
      <c r="G900" s="345" t="n"/>
      <c r="H900" s="345" t="n"/>
      <c r="I900" s="345" t="n"/>
      <c r="J900" s="9" t="n"/>
      <c r="K900" s="9" t="n"/>
      <c r="L900" s="9" t="n"/>
      <c r="M900" s="9" t="n"/>
      <c r="N900" s="9" t="n"/>
      <c r="O900" s="9" t="n"/>
    </row>
    <row r="901">
      <c r="A901" s="9" t="n"/>
      <c r="B901" s="9" t="n"/>
      <c r="C901" s="369" t="n"/>
      <c r="D901" s="345" t="n"/>
      <c r="E901" s="345" t="n"/>
      <c r="F901" s="345" t="n"/>
      <c r="G901" s="345" t="n"/>
      <c r="H901" s="345" t="n"/>
      <c r="I901" s="345" t="n"/>
      <c r="J901" s="9" t="n"/>
      <c r="K901" s="9" t="n"/>
      <c r="L901" s="9" t="n"/>
      <c r="M901" s="9" t="n"/>
      <c r="N901" s="9" t="n"/>
      <c r="O901" s="9" t="n"/>
    </row>
    <row r="902">
      <c r="A902" s="408" t="n"/>
      <c r="B902" s="345" t="n"/>
      <c r="C902" s="369" t="n"/>
      <c r="D902" s="345" t="n"/>
      <c r="E902" s="345" t="n"/>
      <c r="F902" s="345" t="n"/>
      <c r="G902" s="345" t="n"/>
      <c r="H902" s="345" t="n"/>
      <c r="I902" s="345" t="n"/>
      <c r="J902" s="9" t="n"/>
      <c r="K902" s="9" t="n"/>
      <c r="L902" s="9" t="n"/>
      <c r="M902" s="9" t="n"/>
      <c r="N902" s="9" t="n"/>
      <c r="O902" s="9" t="n"/>
    </row>
    <row r="903">
      <c r="A903" s="9" t="n"/>
      <c r="B903" s="9" t="n"/>
      <c r="C903" s="369" t="n"/>
      <c r="D903" s="345" t="n"/>
      <c r="E903" s="345" t="n"/>
      <c r="F903" s="345" t="n"/>
      <c r="G903" s="345" t="n"/>
      <c r="H903" s="345" t="n"/>
      <c r="I903" s="345" t="n"/>
      <c r="J903" s="9" t="n"/>
      <c r="K903" s="9" t="n"/>
      <c r="L903" s="9" t="n"/>
      <c r="M903" s="9" t="n"/>
      <c r="N903" s="9" t="n"/>
      <c r="O903" s="9" t="n"/>
    </row>
    <row r="904">
      <c r="A904" s="408" t="n"/>
      <c r="B904" s="345" t="n"/>
      <c r="C904" s="369" t="n"/>
      <c r="D904" s="345" t="n"/>
      <c r="E904" s="345" t="n"/>
      <c r="F904" s="345" t="n"/>
      <c r="G904" s="345" t="n"/>
      <c r="H904" s="345" t="n"/>
      <c r="I904" s="345" t="n"/>
      <c r="J904" s="9" t="n"/>
      <c r="K904" s="9" t="n"/>
      <c r="L904" s="9" t="n"/>
      <c r="M904" s="9" t="n"/>
      <c r="N904" s="9" t="n"/>
      <c r="O904" s="9" t="n"/>
    </row>
    <row r="905">
      <c r="A905" s="9" t="n"/>
      <c r="B905" s="9" t="n"/>
      <c r="C905" s="369" t="n"/>
      <c r="D905" s="345" t="n"/>
      <c r="E905" s="345" t="n"/>
      <c r="F905" s="345" t="n"/>
      <c r="G905" s="345" t="n"/>
      <c r="H905" s="345" t="n"/>
      <c r="I905" s="345" t="n"/>
      <c r="J905" s="9" t="n"/>
      <c r="K905" s="9" t="n"/>
      <c r="L905" s="9" t="n"/>
      <c r="M905" s="9" t="n"/>
      <c r="N905" s="9" t="n"/>
      <c r="O905" s="9" t="n"/>
    </row>
    <row r="906">
      <c r="A906" s="408" t="n"/>
      <c r="B906" s="345" t="n"/>
      <c r="C906" s="369" t="n"/>
      <c r="D906" s="345" t="n"/>
      <c r="E906" s="345" t="n"/>
      <c r="F906" s="345" t="n"/>
      <c r="G906" s="345" t="n"/>
      <c r="H906" s="345" t="n"/>
      <c r="I906" s="345" t="n"/>
      <c r="J906" s="9" t="n"/>
      <c r="K906" s="9" t="n"/>
      <c r="L906" s="9" t="n"/>
      <c r="M906" s="9" t="n"/>
      <c r="N906" s="9" t="n"/>
      <c r="O906" s="9" t="n"/>
    </row>
    <row r="907">
      <c r="A907" s="9" t="n"/>
      <c r="B907" s="9" t="n"/>
      <c r="C907" s="369" t="n"/>
      <c r="D907" s="345" t="n"/>
      <c r="E907" s="345" t="n"/>
      <c r="F907" s="345" t="n"/>
      <c r="G907" s="345" t="n"/>
      <c r="H907" s="345" t="n"/>
      <c r="I907" s="345" t="n"/>
      <c r="J907" s="9" t="n"/>
      <c r="K907" s="9" t="n"/>
      <c r="L907" s="9" t="n"/>
      <c r="M907" s="9" t="n"/>
      <c r="N907" s="9" t="n"/>
      <c r="O907" s="9" t="n"/>
    </row>
    <row r="908">
      <c r="A908" s="408" t="n"/>
      <c r="B908" s="345" t="n"/>
      <c r="C908" s="369" t="n"/>
      <c r="D908" s="345" t="n"/>
      <c r="E908" s="345" t="n"/>
      <c r="F908" s="345" t="n"/>
      <c r="G908" s="345" t="n"/>
      <c r="H908" s="345" t="n"/>
      <c r="I908" s="345" t="n"/>
      <c r="J908" s="9" t="n"/>
      <c r="K908" s="9" t="n"/>
      <c r="L908" s="9" t="n"/>
      <c r="M908" s="9" t="n"/>
      <c r="N908" s="9" t="n"/>
      <c r="O908" s="9" t="n"/>
    </row>
    <row r="909">
      <c r="A909" s="9" t="n"/>
      <c r="B909" s="9" t="n"/>
      <c r="C909" s="369" t="n"/>
      <c r="D909" s="345" t="n"/>
      <c r="E909" s="345" t="n"/>
      <c r="F909" s="345" t="n"/>
      <c r="G909" s="345" t="n"/>
      <c r="H909" s="345" t="n"/>
      <c r="I909" s="345" t="n"/>
      <c r="J909" s="9" t="n"/>
      <c r="K909" s="9" t="n"/>
      <c r="L909" s="9" t="n"/>
      <c r="M909" s="9" t="n"/>
      <c r="N909" s="9" t="n"/>
      <c r="O909" s="9" t="n"/>
    </row>
    <row r="910">
      <c r="A910" s="408" t="n"/>
      <c r="B910" s="345" t="n"/>
      <c r="C910" s="369" t="n"/>
      <c r="D910" s="345" t="n"/>
      <c r="E910" s="345" t="n"/>
      <c r="F910" s="345" t="n"/>
      <c r="G910" s="345" t="n"/>
      <c r="H910" s="345" t="n"/>
      <c r="I910" s="345" t="n"/>
      <c r="J910" s="9" t="n"/>
      <c r="K910" s="9" t="n"/>
      <c r="L910" s="9" t="n"/>
      <c r="M910" s="9" t="n"/>
      <c r="N910" s="9" t="n"/>
      <c r="O910" s="9" t="n"/>
    </row>
    <row r="911">
      <c r="A911" s="9" t="n"/>
      <c r="B911" s="9" t="n"/>
      <c r="C911" s="410" t="n"/>
      <c r="D911" s="9" t="n"/>
      <c r="E911" s="345" t="n"/>
      <c r="F911" s="345" t="n"/>
      <c r="G911" s="345" t="n"/>
      <c r="H911" s="345" t="n"/>
      <c r="I911" s="345" t="n"/>
      <c r="J911" s="9" t="n"/>
      <c r="K911" s="9" t="n"/>
      <c r="L911" s="9" t="n"/>
      <c r="M911" s="9" t="n"/>
      <c r="N911" s="9" t="n"/>
      <c r="O911" s="9" t="n"/>
    </row>
    <row r="912">
      <c r="A912" s="9" t="n"/>
      <c r="B912" s="9" t="n"/>
      <c r="C912" s="369" t="n"/>
      <c r="D912" s="345" t="n"/>
      <c r="E912" s="345" t="n"/>
      <c r="F912" s="345" t="n"/>
      <c r="G912" s="345" t="n"/>
      <c r="H912" s="345" t="n"/>
      <c r="I912" s="345" t="n"/>
      <c r="J912" s="9" t="n"/>
      <c r="K912" s="9" t="n"/>
      <c r="L912" s="9" t="n"/>
      <c r="M912" s="9" t="n"/>
      <c r="N912" s="9" t="n"/>
      <c r="O912" s="9" t="n"/>
    </row>
    <row r="913">
      <c r="A913" s="9" t="n"/>
      <c r="B913" s="9" t="n"/>
      <c r="C913" s="369" t="n"/>
      <c r="D913" s="345" t="n"/>
      <c r="E913" s="345" t="n"/>
      <c r="F913" s="345" t="n"/>
      <c r="G913" s="345" t="n"/>
      <c r="H913" s="345" t="n"/>
      <c r="I913" s="345" t="n"/>
      <c r="J913" s="9" t="n"/>
      <c r="K913" s="9" t="n"/>
      <c r="L913" s="9" t="n"/>
      <c r="M913" s="9" t="n"/>
      <c r="N913" s="9" t="n"/>
      <c r="O913" s="9" t="n"/>
    </row>
    <row r="914">
      <c r="A914" s="345" t="n"/>
      <c r="B914" s="345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</row>
    <row r="915">
      <c r="A915" s="408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</row>
  </sheetData>
  <mergeCells count="613">
    <mergeCell ref="C534:D534"/>
    <mergeCell ref="A144:A146"/>
    <mergeCell ref="B762:B764"/>
    <mergeCell ref="C770:D770"/>
    <mergeCell ref="B432:B433"/>
    <mergeCell ref="B463:B465"/>
    <mergeCell ref="B42:B43"/>
    <mergeCell ref="B359:B361"/>
    <mergeCell ref="C663:D663"/>
    <mergeCell ref="C834:D834"/>
    <mergeCell ref="B819:B820"/>
    <mergeCell ref="B791:B793"/>
    <mergeCell ref="B29:B30"/>
    <mergeCell ref="C315:D315"/>
    <mergeCell ref="B321:B323"/>
    <mergeCell ref="B346:I346"/>
    <mergeCell ref="B557:B559"/>
    <mergeCell ref="C836:D836"/>
    <mergeCell ref="A121:A125"/>
    <mergeCell ref="B595:B599"/>
    <mergeCell ref="B507:B509"/>
    <mergeCell ref="B336:B338"/>
    <mergeCell ref="A702:E702"/>
    <mergeCell ref="B634:B636"/>
    <mergeCell ref="A251:A254"/>
    <mergeCell ref="B799:B802"/>
    <mergeCell ref="B298:B299"/>
    <mergeCell ref="B857:B859"/>
    <mergeCell ref="B838:B839"/>
    <mergeCell ref="A548:A559"/>
    <mergeCell ref="B825:B826"/>
    <mergeCell ref="C669:D669"/>
    <mergeCell ref="A678:A680"/>
    <mergeCell ref="B316:B317"/>
    <mergeCell ref="A286:A288"/>
    <mergeCell ref="B583:B585"/>
    <mergeCell ref="C802:D802"/>
    <mergeCell ref="B539:B541"/>
    <mergeCell ref="C28:D28"/>
    <mergeCell ref="B787:B788"/>
    <mergeCell ref="C593:D593"/>
    <mergeCell ref="B743:B744"/>
    <mergeCell ref="C3:D3"/>
    <mergeCell ref="B781:B784"/>
    <mergeCell ref="C239:D239"/>
    <mergeCell ref="B712:B714"/>
    <mergeCell ref="B687:B689"/>
    <mergeCell ref="B90:B91"/>
    <mergeCell ref="H1:I1"/>
    <mergeCell ref="A810:A815"/>
    <mergeCell ref="B11:B12"/>
    <mergeCell ref="A615:A622"/>
    <mergeCell ref="B611:B612"/>
    <mergeCell ref="A208:A209"/>
    <mergeCell ref="B751:B753"/>
    <mergeCell ref="B720:B723"/>
    <mergeCell ref="B197:B199"/>
    <mergeCell ref="A78:A83"/>
    <mergeCell ref="A316:A317"/>
    <mergeCell ref="A139:A140"/>
    <mergeCell ref="A210:A211"/>
    <mergeCell ref="A634:A639"/>
    <mergeCell ref="B769:B770"/>
    <mergeCell ref="C842:D842"/>
    <mergeCell ref="A816:A818"/>
    <mergeCell ref="A501:A503"/>
    <mergeCell ref="C379:D379"/>
    <mergeCell ref="C550:D550"/>
    <mergeCell ref="B367:B370"/>
    <mergeCell ref="C542:D542"/>
    <mergeCell ref="B785:B786"/>
    <mergeCell ref="B863:B865"/>
    <mergeCell ref="B472:B473"/>
    <mergeCell ref="B466:B467"/>
    <mergeCell ref="C492:D492"/>
    <mergeCell ref="C650:D650"/>
    <mergeCell ref="C473:D473"/>
    <mergeCell ref="C837:D837"/>
    <mergeCell ref="B477:B478"/>
    <mergeCell ref="A463:A465"/>
    <mergeCell ref="C481:D481"/>
    <mergeCell ref="A819:A820"/>
    <mergeCell ref="B103:B105"/>
    <mergeCell ref="C189:D189"/>
    <mergeCell ref="B339:B341"/>
    <mergeCell ref="A40:A43"/>
    <mergeCell ref="B637:B639"/>
    <mergeCell ref="A769:A770"/>
    <mergeCell ref="A354:I354"/>
    <mergeCell ref="A321:A323"/>
    <mergeCell ref="A560:A561"/>
    <mergeCell ref="B121:B122"/>
    <mergeCell ref="A336:A338"/>
    <mergeCell ref="B64:B68"/>
    <mergeCell ref="A367:A370"/>
    <mergeCell ref="C309:D309"/>
    <mergeCell ref="A562:A563"/>
    <mergeCell ref="B259:B260"/>
    <mergeCell ref="A457:A462"/>
    <mergeCell ref="C205:D205"/>
    <mergeCell ref="A394:A397"/>
    <mergeCell ref="A306:A307"/>
    <mergeCell ref="C311:D311"/>
    <mergeCell ref="B840:B842"/>
    <mergeCell ref="B194:B196"/>
    <mergeCell ref="A44:A59"/>
    <mergeCell ref="B221:B223"/>
    <mergeCell ref="C129:D129"/>
    <mergeCell ref="B286:B288"/>
    <mergeCell ref="C365:D365"/>
    <mergeCell ref="B342:B345"/>
    <mergeCell ref="B715:B717"/>
    <mergeCell ref="B813:B815"/>
    <mergeCell ref="C95:D95"/>
    <mergeCell ref="B690:B692"/>
    <mergeCell ref="B52:B54"/>
    <mergeCell ref="C665:D665"/>
    <mergeCell ref="A466:A467"/>
    <mergeCell ref="B383:B384"/>
    <mergeCell ref="A13:A16"/>
    <mergeCell ref="C710:D710"/>
    <mergeCell ref="B548:B550"/>
    <mergeCell ref="A687:A689"/>
    <mergeCell ref="A707:I707"/>
    <mergeCell ref="B810:B812"/>
    <mergeCell ref="C131:D131"/>
    <mergeCell ref="C556:D556"/>
    <mergeCell ref="C543:D543"/>
    <mergeCell ref="B416:B417"/>
    <mergeCell ref="C260:D260"/>
    <mergeCell ref="B38:B39"/>
    <mergeCell ref="A567:A570"/>
    <mergeCell ref="B567:B568"/>
    <mergeCell ref="B396:B397"/>
    <mergeCell ref="B501:B503"/>
    <mergeCell ref="A333:A335"/>
    <mergeCell ref="C845:D845"/>
    <mergeCell ref="B280:B282"/>
    <mergeCell ref="A179:A180"/>
    <mergeCell ref="B267:B268"/>
    <mergeCell ref="A239:A240"/>
    <mergeCell ref="B516:B518"/>
    <mergeCell ref="A472:A473"/>
    <mergeCell ref="A591:I591"/>
    <mergeCell ref="A269:A272"/>
    <mergeCell ref="A310:A312"/>
    <mergeCell ref="B200:B202"/>
    <mergeCell ref="B206:B207"/>
    <mergeCell ref="A339:A341"/>
    <mergeCell ref="B300:B301"/>
    <mergeCell ref="B493:B494"/>
    <mergeCell ref="C798:D798"/>
    <mergeCell ref="B560:B561"/>
    <mergeCell ref="B371:B373"/>
    <mergeCell ref="C366:D366"/>
    <mergeCell ref="C437:D437"/>
    <mergeCell ref="A313:A315"/>
    <mergeCell ref="C735:D735"/>
    <mergeCell ref="C729:D729"/>
    <mergeCell ref="B295:B296"/>
    <mergeCell ref="B495:B497"/>
    <mergeCell ref="B749:B750"/>
    <mergeCell ref="A857:A859"/>
    <mergeCell ref="B816:B818"/>
    <mergeCell ref="B797:B798"/>
    <mergeCell ref="B55:B57"/>
    <mergeCell ref="B84:B86"/>
    <mergeCell ref="B5:B7"/>
    <mergeCell ref="A217:A220"/>
    <mergeCell ref="A848:A850"/>
    <mergeCell ref="A255:A260"/>
    <mergeCell ref="C63:D63"/>
    <mergeCell ref="C134:D134"/>
    <mergeCell ref="C553:D553"/>
    <mergeCell ref="C826:D826"/>
    <mergeCell ref="B150:B152"/>
    <mergeCell ref="B13:B16"/>
    <mergeCell ref="B513:B515"/>
    <mergeCell ref="B684:B686"/>
    <mergeCell ref="B112:B113"/>
    <mergeCell ref="C138:D138"/>
    <mergeCell ref="B652:B653"/>
    <mergeCell ref="B605:B608"/>
    <mergeCell ref="C119:D119"/>
    <mergeCell ref="C732:D732"/>
    <mergeCell ref="B8:B10"/>
    <mergeCell ref="C790:D790"/>
    <mergeCell ref="B356:B357"/>
    <mergeCell ref="B23:B25"/>
    <mergeCell ref="B483:B484"/>
    <mergeCell ref="B654:B655"/>
    <mergeCell ref="B277:B278"/>
    <mergeCell ref="A416:A417"/>
    <mergeCell ref="C661:D661"/>
    <mergeCell ref="A136:A138"/>
    <mergeCell ref="B227:B228"/>
    <mergeCell ref="B283:B285"/>
    <mergeCell ref="A36:A39"/>
    <mergeCell ref="A825:A826"/>
    <mergeCell ref="B333:B335"/>
    <mergeCell ref="A177:I177"/>
    <mergeCell ref="B664:B666"/>
    <mergeCell ref="A103:A108"/>
    <mergeCell ref="A524:C524"/>
    <mergeCell ref="B310:B312"/>
    <mergeCell ref="C445:D445"/>
    <mergeCell ref="A414:I414"/>
    <mergeCell ref="B392:B393"/>
    <mergeCell ref="B203:B205"/>
    <mergeCell ref="C382:D382"/>
    <mergeCell ref="B374:B376"/>
    <mergeCell ref="A493:A494"/>
    <mergeCell ref="B730:B732"/>
    <mergeCell ref="A751:A766"/>
    <mergeCell ref="A869:A871"/>
    <mergeCell ref="B724:B726"/>
    <mergeCell ref="B394:B395"/>
    <mergeCell ref="A390:A393"/>
    <mergeCell ref="A533:A534"/>
    <mergeCell ref="B232:B234"/>
    <mergeCell ref="B92:B95"/>
    <mergeCell ref="A330:A332"/>
    <mergeCell ref="A696:A699"/>
    <mergeCell ref="A418:A427"/>
    <mergeCell ref="A575:A590"/>
    <mergeCell ref="A884:I884"/>
    <mergeCell ref="A487:A489"/>
    <mergeCell ref="C165:D165"/>
    <mergeCell ref="A851:A853"/>
    <mergeCell ref="C308:D308"/>
    <mergeCell ref="A866:A868"/>
    <mergeCell ref="B581:B582"/>
    <mergeCell ref="C658:D658"/>
    <mergeCell ref="B848:B850"/>
    <mergeCell ref="C179:D179"/>
    <mergeCell ref="B246:B250"/>
    <mergeCell ref="B662:B663"/>
    <mergeCell ref="B718:B719"/>
    <mergeCell ref="B87:B89"/>
    <mergeCell ref="B789:B790"/>
    <mergeCell ref="B235:B236"/>
    <mergeCell ref="A531:I531"/>
    <mergeCell ref="B533:B534"/>
    <mergeCell ref="A747:A750"/>
    <mergeCell ref="A767:I767"/>
    <mergeCell ref="B82:B83"/>
    <mergeCell ref="A150:A152"/>
    <mergeCell ref="C662:D662"/>
    <mergeCell ref="A846:A847"/>
    <mergeCell ref="A513:A515"/>
    <mergeCell ref="A684:A686"/>
    <mergeCell ref="B623:B626"/>
    <mergeCell ref="A172:E172"/>
    <mergeCell ref="B26:B28"/>
    <mergeCell ref="B153:B155"/>
    <mergeCell ref="B324:B326"/>
    <mergeCell ref="A273:A276"/>
    <mergeCell ref="A571:A574"/>
    <mergeCell ref="A356:A357"/>
    <mergeCell ref="A483:A484"/>
    <mergeCell ref="A490:A492"/>
    <mergeCell ref="B609:B610"/>
    <mergeCell ref="B217:B218"/>
    <mergeCell ref="A701:C701"/>
    <mergeCell ref="A398:A413"/>
    <mergeCell ref="B229:B231"/>
    <mergeCell ref="B17:B19"/>
    <mergeCell ref="B794:B796"/>
    <mergeCell ref="C296:D296"/>
    <mergeCell ref="B306:B307"/>
    <mergeCell ref="B44:B46"/>
    <mergeCell ref="C519:D519"/>
    <mergeCell ref="B846:B847"/>
    <mergeCell ref="A348:E348"/>
    <mergeCell ref="A5:A12"/>
    <mergeCell ref="A664:A666"/>
    <mergeCell ref="B69:B73"/>
    <mergeCell ref="B377:B379"/>
    <mergeCell ref="B273:B276"/>
    <mergeCell ref="B733:B735"/>
    <mergeCell ref="A371:A382"/>
    <mergeCell ref="A605:A608"/>
    <mergeCell ref="A785:A790"/>
    <mergeCell ref="A147:A149"/>
    <mergeCell ref="C769:D769"/>
    <mergeCell ref="A349:E349"/>
    <mergeCell ref="B670:B671"/>
    <mergeCell ref="A64:A73"/>
    <mergeCell ref="A277:A278"/>
    <mergeCell ref="A836:A837"/>
    <mergeCell ref="C472:D472"/>
    <mergeCell ref="B380:B382"/>
    <mergeCell ref="C180:D180"/>
    <mergeCell ref="B418:B422"/>
    <mergeCell ref="C118:D118"/>
    <mergeCell ref="B159:B161"/>
    <mergeCell ref="B330:B332"/>
    <mergeCell ref="B224:B226"/>
    <mergeCell ref="B759:B761"/>
    <mergeCell ref="B693:B695"/>
    <mergeCell ref="A803:A806"/>
    <mergeCell ref="B851:B853"/>
    <mergeCell ref="C11:D11"/>
    <mergeCell ref="B261:B263"/>
    <mergeCell ref="B390:B391"/>
    <mergeCell ref="A114:I114"/>
    <mergeCell ref="B129:B130"/>
    <mergeCell ref="B866:B868"/>
    <mergeCell ref="B551:B553"/>
    <mergeCell ref="B123:B124"/>
    <mergeCell ref="A62:A63"/>
    <mergeCell ref="B365:B366"/>
    <mergeCell ref="A662:A663"/>
    <mergeCell ref="A295:A296"/>
    <mergeCell ref="A516:A518"/>
    <mergeCell ref="A450:A453"/>
    <mergeCell ref="A432:A437"/>
    <mergeCell ref="A652:A656"/>
    <mergeCell ref="B836:B837"/>
    <mergeCell ref="A623:A626"/>
    <mergeCell ref="C62:D62"/>
    <mergeCell ref="C614:D614"/>
    <mergeCell ref="B454:B455"/>
    <mergeCell ref="B510:B512"/>
    <mergeCell ref="B869:B871"/>
    <mergeCell ref="A649:A650"/>
    <mergeCell ref="C825:D825"/>
    <mergeCell ref="C485:D485"/>
    <mergeCell ref="C306:D306"/>
    <mergeCell ref="B487:B489"/>
    <mergeCell ref="B754:B756"/>
    <mergeCell ref="C696:D696"/>
    <mergeCell ref="B20:B22"/>
    <mergeCell ref="C416:D416"/>
    <mergeCell ref="B78:B79"/>
    <mergeCell ref="B109:B111"/>
    <mergeCell ref="B436:B437"/>
    <mergeCell ref="B47:B49"/>
    <mergeCell ref="A738:A739"/>
    <mergeCell ref="B80:B81"/>
    <mergeCell ref="B745:B746"/>
    <mergeCell ref="A206:A207"/>
    <mergeCell ref="B401:B403"/>
    <mergeCell ref="A342:A345"/>
    <mergeCell ref="B40:B41"/>
    <mergeCell ref="C622:D622"/>
    <mergeCell ref="C240:D240"/>
    <mergeCell ref="A544:A547"/>
    <mergeCell ref="C709:D709"/>
    <mergeCell ref="B428:B431"/>
    <mergeCell ref="C19:D19"/>
    <mergeCell ref="B631:B632"/>
    <mergeCell ref="C304:D304"/>
    <mergeCell ref="B681:B683"/>
    <mergeCell ref="C838:D838"/>
    <mergeCell ref="C83:D83"/>
    <mergeCell ref="B404:B405"/>
    <mergeCell ref="B162:B164"/>
    <mergeCell ref="B398:B400"/>
    <mergeCell ref="B640:B642"/>
    <mergeCell ref="A781:A784"/>
    <mergeCell ref="B490:B492"/>
    <mergeCell ref="A261:A268"/>
    <mergeCell ref="A182:A189"/>
    <mergeCell ref="A159:A161"/>
    <mergeCell ref="B498:B500"/>
    <mergeCell ref="B554:B556"/>
    <mergeCell ref="A693:A695"/>
    <mergeCell ref="B803:B806"/>
    <mergeCell ref="A720:A723"/>
    <mergeCell ref="C137:D137"/>
    <mergeCell ref="B239:B240"/>
    <mergeCell ref="A129:A130"/>
    <mergeCell ref="B747:B748"/>
    <mergeCell ref="A428:A431"/>
    <mergeCell ref="C668:D668"/>
    <mergeCell ref="A454:A455"/>
    <mergeCell ref="A131:A132"/>
    <mergeCell ref="C188:D188"/>
    <mergeCell ref="B257:B258"/>
    <mergeCell ref="B264:B266"/>
    <mergeCell ref="C132:D132"/>
    <mergeCell ref="A840:A842"/>
    <mergeCell ref="B444:B445"/>
    <mergeCell ref="B182:B184"/>
    <mergeCell ref="B409:B411"/>
    <mergeCell ref="C488:D488"/>
    <mergeCell ref="B757:B758"/>
    <mergeCell ref="A525:E525"/>
    <mergeCell ref="A194:A205"/>
    <mergeCell ref="C559:D559"/>
    <mergeCell ref="A843:A845"/>
    <mergeCell ref="C844:D844"/>
    <mergeCell ref="A109:A111"/>
    <mergeCell ref="B727:B729"/>
    <mergeCell ref="A385:A386"/>
    <mergeCell ref="B475:B476"/>
    <mergeCell ref="C417:D417"/>
    <mergeCell ref="A536:A543"/>
    <mergeCell ref="B412:B413"/>
    <mergeCell ref="A807:A808"/>
    <mergeCell ref="B406:B408"/>
    <mergeCell ref="C839:D839"/>
    <mergeCell ref="B185:B187"/>
    <mergeCell ref="C22:D22"/>
    <mergeCell ref="C127:D127"/>
    <mergeCell ref="C491:D491"/>
    <mergeCell ref="B575:B577"/>
    <mergeCell ref="C356:D356"/>
    <mergeCell ref="C483:D483"/>
    <mergeCell ref="A838:A839"/>
    <mergeCell ref="B544:B547"/>
    <mergeCell ref="C719:D719"/>
    <mergeCell ref="B860:B862"/>
    <mergeCell ref="A438:A445"/>
    <mergeCell ref="C841:D841"/>
    <mergeCell ref="B600:B604"/>
    <mergeCell ref="B771:B775"/>
    <mergeCell ref="B36:B37"/>
    <mergeCell ref="B74:B77"/>
    <mergeCell ref="A660:A661"/>
    <mergeCell ref="A631:A632"/>
    <mergeCell ref="C272:D272"/>
    <mergeCell ref="A878:E878"/>
    <mergeCell ref="A112:A113"/>
    <mergeCell ref="A690:A692"/>
    <mergeCell ref="C872:D872"/>
    <mergeCell ref="A162:A164"/>
    <mergeCell ref="B830:B831"/>
    <mergeCell ref="A640:A642"/>
    <mergeCell ref="A627:A630"/>
    <mergeCell ref="B100:B101"/>
    <mergeCell ref="B62:B63"/>
    <mergeCell ref="A724:A735"/>
    <mergeCell ref="B621:B622"/>
    <mergeCell ref="B190:B193"/>
    <mergeCell ref="B165:B168"/>
    <mergeCell ref="C489:D489"/>
    <mergeCell ref="B133:B135"/>
    <mergeCell ref="B450:B453"/>
    <mergeCell ref="B660:B661"/>
    <mergeCell ref="A324:A326"/>
    <mergeCell ref="A241:A250"/>
    <mergeCell ref="A359:A366"/>
    <mergeCell ref="B519:B522"/>
    <mergeCell ref="A213:A216"/>
    <mergeCell ref="C130:D130"/>
    <mergeCell ref="A100:A101"/>
    <mergeCell ref="C295:D295"/>
    <mergeCell ref="C135:D135"/>
    <mergeCell ref="A190:A193"/>
    <mergeCell ref="B649:B650"/>
    <mergeCell ref="C626:D626"/>
    <mergeCell ref="A289:A290"/>
    <mergeCell ref="C718:D718"/>
    <mergeCell ref="A291:I291"/>
    <mergeCell ref="B843:B845"/>
    <mergeCell ref="C199:D199"/>
    <mergeCell ref="B672:B674"/>
    <mergeCell ref="C484:D484"/>
    <mergeCell ref="B50:B51"/>
    <mergeCell ref="B571:B572"/>
    <mergeCell ref="B578:B580"/>
    <mergeCell ref="A298:A302"/>
    <mergeCell ref="C486:D486"/>
    <mergeCell ref="A609:A614"/>
    <mergeCell ref="B807:B808"/>
    <mergeCell ref="A771:A780"/>
    <mergeCell ref="B179:B180"/>
    <mergeCell ref="B667:B669"/>
    <mergeCell ref="A318:A320"/>
    <mergeCell ref="A495:A497"/>
    <mergeCell ref="B573:B574"/>
    <mergeCell ref="A791:A798"/>
    <mergeCell ref="A74:A77"/>
    <mergeCell ref="A595:A604"/>
    <mergeCell ref="A2:A3"/>
    <mergeCell ref="B141:B143"/>
    <mergeCell ref="B255:B256"/>
    <mergeCell ref="B504:B506"/>
    <mergeCell ref="B589:B590"/>
    <mergeCell ref="A33:A34"/>
    <mergeCell ref="A740:A741"/>
    <mergeCell ref="B627:B630"/>
    <mergeCell ref="B441:B443"/>
    <mergeCell ref="B362:B364"/>
    <mergeCell ref="B136:B138"/>
    <mergeCell ref="A171:E171"/>
    <mergeCell ref="A498:A500"/>
    <mergeCell ref="A165:A168"/>
    <mergeCell ref="A92:A95"/>
    <mergeCell ref="A221:A236"/>
    <mergeCell ref="A821:I821"/>
    <mergeCell ref="A133:A135"/>
    <mergeCell ref="A593:A594"/>
    <mergeCell ref="A387:A388"/>
    <mergeCell ref="C726:D726"/>
    <mergeCell ref="B438:B440"/>
    <mergeCell ref="B700:I700"/>
    <mergeCell ref="B876:I876"/>
    <mergeCell ref="A828:A832"/>
    <mergeCell ref="B58:B59"/>
    <mergeCell ref="A468:I468"/>
    <mergeCell ref="B586:B588"/>
    <mergeCell ref="B776:B780"/>
    <mergeCell ref="B446:B449"/>
    <mergeCell ref="C202:D202"/>
    <mergeCell ref="A877:C877"/>
    <mergeCell ref="C373:D373"/>
    <mergeCell ref="B485:B486"/>
    <mergeCell ref="B675:B677"/>
    <mergeCell ref="B156:B158"/>
    <mergeCell ref="B327:B329"/>
    <mergeCell ref="B643:B644"/>
    <mergeCell ref="A475:A479"/>
    <mergeCell ref="A84:A91"/>
    <mergeCell ref="B118:B119"/>
    <mergeCell ref="B289:B290"/>
    <mergeCell ref="A170:C170"/>
    <mergeCell ref="A672:A674"/>
    <mergeCell ref="A872:A875"/>
    <mergeCell ref="A153:A155"/>
    <mergeCell ref="C268:D268"/>
    <mergeCell ref="A743:A746"/>
    <mergeCell ref="A308:A309"/>
    <mergeCell ref="C91:D91"/>
    <mergeCell ref="B434:B435"/>
    <mergeCell ref="A667:A669"/>
    <mergeCell ref="B213:B214"/>
    <mergeCell ref="C342:D342"/>
    <mergeCell ref="C649:D649"/>
    <mergeCell ref="B215:B216"/>
    <mergeCell ref="B709:B710"/>
    <mergeCell ref="B131:B132"/>
    <mergeCell ref="C357:D357"/>
    <mergeCell ref="C449:D449"/>
    <mergeCell ref="B96:B99"/>
    <mergeCell ref="B736:B737"/>
    <mergeCell ref="B2:B3"/>
    <mergeCell ref="B828:B829"/>
    <mergeCell ref="B542:B543"/>
    <mergeCell ref="A504:A506"/>
    <mergeCell ref="B536:B538"/>
    <mergeCell ref="B765:B766"/>
    <mergeCell ref="B144:B146"/>
    <mergeCell ref="A860:A862"/>
    <mergeCell ref="B569:B570"/>
    <mergeCell ref="A854:A856"/>
    <mergeCell ref="A670:A671"/>
    <mergeCell ref="C12:D12"/>
    <mergeCell ref="B460:B462"/>
    <mergeCell ref="C533:D533"/>
    <mergeCell ref="C660:D660"/>
    <mergeCell ref="A347:C347"/>
    <mergeCell ref="C312:D312"/>
    <mergeCell ref="A799:A802"/>
    <mergeCell ref="B318:B320"/>
    <mergeCell ref="B251:B254"/>
    <mergeCell ref="B188:B189"/>
    <mergeCell ref="B169:I169"/>
    <mergeCell ref="A280:A285"/>
    <mergeCell ref="A31:A32"/>
    <mergeCell ref="A237:I237"/>
    <mergeCell ref="B618:B620"/>
    <mergeCell ref="B678:B680"/>
    <mergeCell ref="B854:B856"/>
    <mergeCell ref="C307:D307"/>
    <mergeCell ref="B423:B427"/>
    <mergeCell ref="B457:B459"/>
    <mergeCell ref="B313:B315"/>
    <mergeCell ref="A17:A28"/>
    <mergeCell ref="A383:A384"/>
    <mergeCell ref="A141:A143"/>
    <mergeCell ref="C666:D666"/>
    <mergeCell ref="A446:A449"/>
    <mergeCell ref="A510:A512"/>
    <mergeCell ref="A681:A683"/>
    <mergeCell ref="B219:B220"/>
    <mergeCell ref="A675:A677"/>
    <mergeCell ref="A485:A486"/>
    <mergeCell ref="A156:A158"/>
    <mergeCell ref="A327:A329"/>
    <mergeCell ref="A643:A644"/>
    <mergeCell ref="A645:I645"/>
    <mergeCell ref="A118:A119"/>
    <mergeCell ref="A519:A522"/>
    <mergeCell ref="A712:A719"/>
    <mergeCell ref="B872:B875"/>
    <mergeCell ref="B241:B245"/>
    <mergeCell ref="C196:D196"/>
    <mergeCell ref="C25:D25"/>
    <mergeCell ref="B613:B614"/>
    <mergeCell ref="B523:I523"/>
    <mergeCell ref="B308:B309"/>
    <mergeCell ref="A709:A710"/>
    <mergeCell ref="C594:D594"/>
    <mergeCell ref="B106:B108"/>
    <mergeCell ref="B593:B594"/>
    <mergeCell ref="C2:D2"/>
    <mergeCell ref="B696:B699"/>
    <mergeCell ref="B139:B140"/>
    <mergeCell ref="A29:A30"/>
    <mergeCell ref="B615:B617"/>
    <mergeCell ref="B269:B272"/>
    <mergeCell ref="A507:A509"/>
    <mergeCell ref="A60:I60"/>
    <mergeCell ref="A96:A99"/>
    <mergeCell ref="A736:A737"/>
    <mergeCell ref="B147:B149"/>
    <mergeCell ref="A863:A865"/>
    <mergeCell ref="A564:A565"/>
    <mergeCell ref="C376:D376"/>
    <mergeCell ref="C314:D314"/>
  </mergeCells>
  <dataValidations count="21">
    <dataValidation sqref="E165:I165 E342:I342 E519:I519 E696:I696 E872:I872" showDropDown="0" showInputMessage="1" showErrorMessage="1" allowBlank="1" type="list">
      <formula1>"○,×,-"</formula1>
    </dataValidation>
    <dataValidation sqref="E885:I885" showDropDown="0" showInputMessage="1" showErrorMessage="1" allowBlank="1" type="list">
      <formula1>$K$12:$M$12</formula1>
    </dataValidation>
    <dataValidation sqref="E16:I16 E193:I193 E370:I370 E547:I547 E723:I723" showDropDown="0" showInputMessage="1" showErrorMessage="1" allowBlank="1" type="list">
      <formula1>$K$14:$M$14</formula1>
    </dataValidation>
    <dataValidation sqref="E15:I15 E192:I192 E369:I369 E546:I546 E722:I722" showDropDown="0" showInputMessage="1" showErrorMessage="1" allowBlank="1" type="list">
      <formula1>$K$15:$L$15</formula1>
    </dataValidation>
    <dataValidation sqref="E4:I4 E7:I7 E10:I10 E14:I14 E18:I18 E21:I21 E24:I24 E27:I27 E29:I30 E37:I37 E39:I40 E42:I42 E46:I46 E54:I54 E66:I66 E71:I71 E76:I76 E79:I79 E81:I81 E86:I86 E89:I89 E93:I94 E98:I98 E101:I102 E104:I104 E110:G110 E112:I113 E120:I120 E122:I122 E124:I124 E126:I126 E128:I129 E131:I132 E134:I134 E137:I137 E139:I139 E142:I142 E145:I145 E148:I148 E151:I151 E154:I154 E157:I157 E160:I160 E163:I163 E181:I181 E184:I184 E187:I187 E191:I191 E195:I195 E198:I198 E201:I201 E204:I204 E206:I207 E214:I214 E216:I217 E219:I219 E223:I223 E231:I231 E243:I243 E248:I248 E253:I253 E256:I256 E258:I258 E263:I263 E266:I266 E270:I271 E275:I275 E278:I279 E281:I281 E287:I287 E289:I290 E297:I297 E299:I299 E301:I301 E303:I303 E305:I306 E308:I309 E311:I311 E314:I314 E316:I316 E319:I319 E322:I322 E325:I325 E328:I328 E331:I331 E334:I334 E337:I337 E340:I340 E358:I358 E361:I361 E364:I364 E368:I368 E372:I372 E375:I375 E378:I378 E381:I381 E383:I384 E391:I391 E393:I394 E396:I396 E400:I400 E408:I408 E420:I420 E425:I425 E430:I430 E433:I433 E435:I435 E440:I440 E443:I443 E447:I448 E452:I452 E455:I456 E458:I458 E464:I464 E466:I467 E474:I474 E476:I476 E478:I478 E480:I480 E482:I483 E485:I486 E488:I488 E491:I491 E493:I493 E496:I496 E499:I499 E502:I502 E505:I505 E508:I508 E511:I511 E514:I514 E517:I517 E535:I535 E538:I538 E541:I541 E545:I545 E549:I549 E552:I552 E555:I555 E558:I558 E560:I561 E568:I568 E570:I571 E573:I573 E577:I577 E585:I585 E597:I597 E602:I602 E607:I607 E610:I610 E612:I612 E617:I617 E620:I620 E624:I625 E629:I629 E632:I633 E635:I635 E641:I641 E643:I644 E651:I651 E653:I653 E655:I655 E657:I657 E659:I660 E662:I663 E665:I665 E668:I668 E670:I670 E673:I673 E676:I676 E679:I679 E682:I682 E685:I685 E688:I688 E691:I691 E694:I694 E711:I711 E714:I714 E717:I717 E721:I721 E725:I725 E728:I728 E731:I731 E734:I734 E736:I737 E744:I744 E746:I747 E749:I749 E753:I753 E761:I761 E773:I773 E778:I778 E783:I783 E786:I786 E788:I788 E793:I793 E796:I796 E800:I801 E805:I805 E808:I809 E811:I811 E817:I817 E819:I820 E827:I827 E829:I829 E831:I831 E833:I833 E835:I836 E838:I839 E841:I841 E844:I844 E846:I846 E849:I849 E852:I852 E855:I855 E858:I858 E861:I861 E864:I864 E867:I867 E870:I870 E887:I887 E889:I889 E892:I892 E894:I894 E896:I896 E898:I898 E900:I900 E902:I902 E904:I904 E906:I906 E908:I908 L420 L425 L440 L443 L793 M243 M263 N270:N271 N420 N425 N440 N443 O447:O448" showDropDown="0" showInputMessage="1" showErrorMessage="1" allowBlank="1" type="list">
      <formula1>$K$14:$N$14</formula1>
    </dataValidation>
    <dataValidation sqref="E41:I41 E43:I43 E67:I67 E72:I72 E105:I105 E108:I108 E218:I218 E220:I220 E244:I244 E249:I249 E282:I282 E285:I285 E395:I395 E397:I397 E421:I421 E426:I426 E459:I459 E462:I462 E572:I572 E574:I574 E598:I598 E603:I603 E636:I636 E639:I639 E748:I748 E750:I750 E774:I774 E779:I779 E812:I812 E815:I815 L421 L426 M244 N421 N426" showDropDown="0" showInputMessage="1" showErrorMessage="1" allowBlank="1" type="list">
      <formula1>$K$15:$M$15</formula1>
    </dataValidation>
    <dataValidation sqref="E127:I127 E304:I304 E481:I481 E658:I658 E834:I834" showDropDown="0" showInputMessage="1" showErrorMessage="1" allowBlank="1" type="list">
      <formula1>$K$127:$L$127</formula1>
    </dataValidation>
    <dataValidation sqref="E890:I890 E893:I893 E913:I913" showDropDown="0" showInputMessage="1" showErrorMessage="1" allowBlank="1" type="list">
      <formula1>$K$135:$M$135</formula1>
    </dataValidation>
    <dataValidation sqref="E895:I895 E897:I897 E899:I899 E901:I901 E903:I903 E905:I905 E907:I907 E909:I909" showDropDown="0" showInputMessage="1" showErrorMessage="1" allowBlank="1" type="list">
      <formula1>$K$140:$M$140</formula1>
    </dataValidation>
    <dataValidation sqref="E910:I912" showDropDown="0" showInputMessage="1" showErrorMessage="1" allowBlank="1" type="list">
      <formula1>$K$169</formula1>
    </dataValidation>
    <dataValidation sqref="E11:I11 E50:I50 E58:I58 E68:I68 E73:I73 E77:I77 E82:I82 E90:I90 E99:I99 E111:G111 E125:I125 E130:I130 E188:I188 E227:I227 E235:I235 E245:I245 E250:I250 E254:I254 E259:I259 E267:I267 E276:I276 E288:H288 E302:I302 E307:I307 E365:I365 E404:I404 E412:I412 E422:I422 E427:I427 E431:I431 E436:I436 E444:I444 E453:I453 E465:I465 E479:I479 E484:I484 E542:I542 E581:I581 E589:I589 E599:I599 E604:I604 E608:I608 E613:I613 E621:I621 E630:I630 E642:I642 E656:I656 E661:I661 E718:I718 E757:I757 E765:I765 E775:I775 E780:I780 E784:I784 E789:I789 E797:I797 E806:I806 E818:I818 E832:I832 E837:I837 L422 L427 L444 M245 N422 N427 N444" showDropDown="0" showInputMessage="1" showErrorMessage="1" allowBlank="1" type="list">
      <formula1>$K$12:$L$12</formula1>
    </dataValidation>
    <dataValidation sqref="E135:I135 E146:I146 E152:I152 E158:I158 E312:I312 E323:I323 E329:I329 E335:I335 E489:I489 E500:I500 E506:I506 E512:I512 E666:I666 E677:I677 E683:I683 E689:I689 E853:I853 E859:I859 E865:I865" showDropDown="0" showInputMessage="1" showErrorMessage="1" allowBlank="1" type="list">
      <formula1>$K$130:$M$130</formula1>
    </dataValidation>
    <dataValidation sqref="E138:I138 E143:I143 E149:I149 E155:I155 E161:I161 E164:I164 E315:I315 E320:I320 E326:I326 E332:I332 E338:I338 E341:I341 E489:I489 E492:I492 E497:I497 E503:I503 E509:I509 E515:I515 E518:I518 E669:I669 E674:I674 E680:I680 E686:I686 E692:I692 E695:I695 E842:I842 E845:I845 E850:I850 E856:I856 E862:I862 E868:I868 E871:I871" showDropDown="0" showInputMessage="1" showErrorMessage="1" allowBlank="1" type="list">
      <formula1>$K$132:$M$132</formula1>
    </dataValidation>
    <dataValidation sqref="E140:I140 E317:I317 E494:I494 E671:I671 E847:I847" showDropDown="0" showInputMessage="1" showErrorMessage="1" allowBlank="1" type="list">
      <formula1>$K$140:$L$140</formula1>
    </dataValidation>
    <dataValidation sqref="E167:I167 E344:I344 E521:I521 E698:I698 E874:I874" showDropDown="0" showInputMessage="1" showErrorMessage="1" allowBlank="1" type="list">
      <formula1>$K$167:$M$167</formula1>
    </dataValidation>
    <dataValidation sqref="E168:I168 E345:I345 E522:I522 E699:I699 E875:I875" showDropDown="0" showInputMessage="1" showErrorMessage="1" allowBlank="1" type="list">
      <formula1>$K$168:$L$168</formula1>
    </dataValidation>
    <dataValidation sqref="E51:I51 E83:I83 E91:I91 E228:I228 E260:I260 E268:I268 E405:I405 E437:I437 E445:I445 E582:I582 E614:I614 E622:I622 E758:I758 E790:I790 E798:I798 L445 N445" showDropDown="0" showInputMessage="1" showErrorMessage="1" allowBlank="1" type="list">
      <formula1>$K$22:$L$22</formula1>
    </dataValidation>
    <dataValidation sqref="E95:I95 E272:I272 E449:I449 E626:I626 E802:I802 O449" showDropDown="0" showInputMessage="1" showErrorMessage="1" allowBlank="1" type="list">
      <formula1>$L$95:$M$95</formula1>
    </dataValidation>
    <dataValidation sqref="E12:I12 E189:I189 E366:I366 E543:I543 E719:I719" showDropDown="0" showInputMessage="1" showErrorMessage="1" allowBlank="1" type="list">
      <formula1>$K$18:$M$18</formula1>
    </dataValidation>
    <dataValidation sqref="E19:I19 E22:I22 E25:I25 E28:I28 E196:I196 E199:I199 E202:I202 E205:I205 E373:I373 E376:I376 E379:I379 E382:I382 E550:I550 E553:I553 E556:I556 E559:I559 E726:I726 E729:I729 E732:I732 E735:I735" showDropDown="0" showInputMessage="1" showErrorMessage="1" allowBlank="1" type="list">
      <formula1>$K$20:$M$20</formula1>
    </dataValidation>
    <dataValidation sqref="E59:I59 E236:I236 E413:I413 E590:I590 E766:I766" showDropDown="0" showInputMessage="1" showErrorMessage="1" allowBlank="1" type="list">
      <formula1>$K$23:$L$23</formula1>
    </dataValidation>
  </dataValidations>
  <pageMargins left="0.7874015748031497" right="0.3937007874015748" top="0.5905511811023623" bottom="0.3937007874015748" header="0.5118110236220472" footer="0.5118110236220472"/>
  <pageSetup orientation="portrait" paperSize="9" scale="83"/>
  <rowBreaks count="14" manualBreakCount="14">
    <brk id="60" min="0" max="8" man="1"/>
    <brk id="116" min="0" max="8" man="1"/>
    <brk id="177" min="0" max="8" man="1"/>
    <brk id="237" min="0" max="8" man="1"/>
    <brk id="293" min="0" max="8" man="1"/>
    <brk id="354" min="0" max="8" man="1"/>
    <brk id="414" min="0" max="8" man="1"/>
    <brk id="470" min="0" max="8" man="1"/>
    <brk id="531" min="0" max="8" man="1"/>
    <brk id="591" min="0" max="8" man="1"/>
    <brk id="647" min="0" max="8" man="1"/>
    <brk id="707" min="0" max="8" man="1"/>
    <brk id="767" min="0" max="8" man="1"/>
    <brk id="823" min="0" max="8" man="1"/>
  </rowBreaks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R603"/>
  <sheetViews>
    <sheetView view="pageBreakPreview" zoomScaleNormal="110" zoomScaleSheetLayoutView="100" workbookViewId="0">
      <selection activeCell="H451" sqref="H451"/>
    </sheetView>
  </sheetViews>
  <sheetFormatPr baseColWidth="8" defaultColWidth="9" defaultRowHeight="13.5" customHeight="1"/>
  <cols>
    <col width="4.5" customWidth="1" style="7" min="1" max="1"/>
    <col width="6.1640625" customWidth="1" style="7" min="2" max="3"/>
    <col width="12.1640625" customWidth="1" style="7" min="4" max="4"/>
    <col width="11.1640625" customWidth="1" style="7" min="5" max="5"/>
    <col width="8.6640625" customWidth="1" style="6" min="6" max="6"/>
    <col width="17.6640625" customWidth="1" style="6" min="7" max="11"/>
    <col width="2.6640625" customWidth="1" style="7" min="12" max="12"/>
    <col width="5.6640625" customWidth="1" style="8" min="13" max="15"/>
    <col width="9" customWidth="1" style="7" min="16" max="16"/>
    <col width="9" customWidth="1" style="7" min="17" max="16384"/>
  </cols>
  <sheetData>
    <row r="1" ht="21" customHeight="1">
      <c r="A1" s="299" t="inlineStr">
        <is>
          <t xml:space="preserve">　電気設備日常点検（１/３）</t>
        </is>
      </c>
      <c r="B1" s="299" t="n"/>
      <c r="C1" s="299" t="n"/>
      <c r="D1" s="299" t="n"/>
      <c r="E1" s="299" t="n"/>
      <c r="F1" s="299" t="n"/>
      <c r="G1" s="128" t="n"/>
      <c r="H1" s="128" t="n"/>
      <c r="I1" s="128" t="n"/>
      <c r="J1" s="128" t="n"/>
      <c r="K1" s="355">
        <f>運転管理月報!J1</f>
        <v/>
      </c>
      <c r="L1" s="9" t="n"/>
      <c r="M1" s="9" t="n"/>
      <c r="N1" s="9" t="n"/>
      <c r="O1" s="9" t="n"/>
      <c r="P1" s="9" t="n"/>
      <c r="Q1" s="9" t="n"/>
      <c r="R1" s="9" t="n"/>
    </row>
    <row r="2" ht="13.5" customHeight="1">
      <c r="A2" s="411" t="n"/>
      <c r="B2" s="411" t="n"/>
      <c r="C2" s="411" t="n"/>
      <c r="D2" s="411" t="n"/>
      <c r="E2" s="411" t="n"/>
      <c r="F2" s="411" t="n"/>
      <c r="G2" s="941">
        <f>日常水質!I3</f>
        <v/>
      </c>
      <c r="H2" s="942">
        <f>日常水質!J3</f>
        <v/>
      </c>
      <c r="I2" s="941">
        <f>日常水質!K3</f>
        <v/>
      </c>
      <c r="J2" s="941">
        <f>日常水質!L3</f>
        <v/>
      </c>
      <c r="K2" s="941">
        <f>日常水質!M3</f>
        <v/>
      </c>
      <c r="L2" s="9" t="n"/>
      <c r="M2" s="9" t="n"/>
      <c r="N2" s="9" t="n"/>
      <c r="O2" s="9" t="n"/>
      <c r="P2" s="9" t="n"/>
      <c r="Q2" s="9" t="n"/>
      <c r="R2" s="9" t="n"/>
    </row>
    <row r="3" ht="17.25" customHeight="1">
      <c r="A3" s="775" t="inlineStr">
        <is>
          <t>電　　　　　気　　　　　室</t>
        </is>
      </c>
      <c r="B3" s="775" t="inlineStr">
        <is>
          <t>引込・受電</t>
        </is>
      </c>
      <c r="C3" s="763" t="inlineStr">
        <is>
          <t>電圧</t>
        </is>
      </c>
      <c r="D3" s="586" t="n"/>
      <c r="E3" s="587" t="n"/>
      <c r="F3" s="414" t="inlineStr">
        <is>
          <t>KV</t>
        </is>
      </c>
      <c r="G3" s="333" t="n"/>
      <c r="H3" s="332" t="n"/>
      <c r="I3" s="332" t="n"/>
      <c r="J3" s="332" t="n"/>
      <c r="K3" s="332" t="n"/>
      <c r="L3" s="9" t="n"/>
      <c r="M3" s="9" t="n"/>
      <c r="N3" s="9" t="n"/>
      <c r="O3" s="9" t="n"/>
      <c r="P3" s="9" t="n"/>
      <c r="Q3" s="9" t="n"/>
      <c r="R3" s="938" t="n"/>
    </row>
    <row r="4" ht="17.25" customHeight="1">
      <c r="A4" s="679" t="n"/>
      <c r="B4" s="679" t="n"/>
      <c r="C4" s="590" t="n"/>
      <c r="D4" s="598" t="n"/>
      <c r="E4" s="591" t="n"/>
      <c r="F4" s="415" t="inlineStr">
        <is>
          <t>モード</t>
        </is>
      </c>
      <c r="G4" s="416" t="n"/>
      <c r="H4" s="416" t="n"/>
      <c r="I4" s="416" t="n"/>
      <c r="J4" s="416" t="n"/>
      <c r="K4" s="416" t="n"/>
      <c r="L4" s="9" t="n"/>
      <c r="M4" s="417" t="n"/>
      <c r="N4" s="417" t="n"/>
      <c r="O4" s="417" t="n"/>
      <c r="P4" s="9" t="n"/>
      <c r="Q4" s="9" t="n"/>
      <c r="R4" s="345" t="n"/>
    </row>
    <row r="5" ht="17.25" customHeight="1">
      <c r="A5" s="679" t="n"/>
      <c r="B5" s="679" t="n"/>
      <c r="C5" s="763" t="inlineStr">
        <is>
          <t>力率</t>
        </is>
      </c>
      <c r="D5" s="574" t="n"/>
      <c r="E5" s="580" t="n"/>
      <c r="F5" s="418" t="inlineStr">
        <is>
          <t>ψ</t>
        </is>
      </c>
      <c r="G5" s="419" t="n"/>
      <c r="H5" s="420" t="n"/>
      <c r="I5" s="419" t="n"/>
      <c r="J5" s="419" t="n"/>
      <c r="K5" s="419" t="n"/>
      <c r="L5" s="9" t="n"/>
      <c r="M5" s="9" t="n"/>
      <c r="N5" s="9" t="n"/>
      <c r="O5" s="9" t="n"/>
      <c r="P5" s="9" t="n"/>
      <c r="Q5" s="9" t="n"/>
      <c r="R5" s="387" t="n"/>
    </row>
    <row r="6" ht="17.25" customHeight="1">
      <c r="A6" s="679" t="n"/>
      <c r="B6" s="679" t="n"/>
      <c r="C6" s="763" t="inlineStr">
        <is>
          <t>電流</t>
        </is>
      </c>
      <c r="D6" s="586" t="n"/>
      <c r="E6" s="587" t="n"/>
      <c r="F6" s="414" t="inlineStr">
        <is>
          <t>A</t>
        </is>
      </c>
      <c r="G6" s="933" t="n"/>
      <c r="H6" s="932" t="n"/>
      <c r="I6" s="933" t="n"/>
      <c r="J6" s="933" t="n"/>
      <c r="K6" s="933" t="n"/>
      <c r="L6" s="9" t="n"/>
      <c r="M6" s="9" t="n"/>
      <c r="N6" s="9" t="n"/>
      <c r="O6" s="9" t="n"/>
      <c r="P6" s="9" t="n"/>
      <c r="Q6" s="9" t="n"/>
      <c r="R6" s="938" t="n"/>
    </row>
    <row r="7" ht="17.25" customHeight="1">
      <c r="A7" s="679" t="n"/>
      <c r="B7" s="679" t="n"/>
      <c r="C7" s="590" t="n"/>
      <c r="D7" s="598" t="n"/>
      <c r="E7" s="591" t="n"/>
      <c r="F7" s="415" t="inlineStr">
        <is>
          <t>モード</t>
        </is>
      </c>
      <c r="G7" s="416" t="n"/>
      <c r="H7" s="416" t="n"/>
      <c r="I7" s="416" t="n"/>
      <c r="J7" s="416" t="n"/>
      <c r="K7" s="416" t="n"/>
      <c r="L7" s="9" t="n"/>
      <c r="M7" s="417" t="n"/>
      <c r="N7" s="417" t="n"/>
      <c r="O7" s="417" t="n"/>
      <c r="P7" s="9" t="n"/>
      <c r="Q7" s="9" t="n"/>
      <c r="R7" s="345" t="n"/>
    </row>
    <row r="8" ht="17.25" customHeight="1">
      <c r="A8" s="679" t="n"/>
      <c r="B8" s="679" t="n"/>
      <c r="C8" s="763" t="inlineStr">
        <is>
          <t>普通電力量（×１０ｋw）</t>
        </is>
      </c>
      <c r="D8" s="586" t="n"/>
      <c r="E8" s="587" t="n"/>
      <c r="F8" s="414" t="inlineStr">
        <is>
          <t>読み</t>
        </is>
      </c>
      <c r="G8" s="943" t="n"/>
      <c r="H8" s="944" t="n"/>
      <c r="I8" s="943" t="n"/>
      <c r="J8" s="943" t="n"/>
      <c r="K8" s="943" t="n"/>
      <c r="L8" s="9" t="n"/>
      <c r="M8" s="9" t="n"/>
      <c r="N8" s="9" t="n"/>
      <c r="O8" s="9" t="n"/>
      <c r="P8" s="9" t="n"/>
      <c r="Q8" s="9" t="n"/>
      <c r="R8" s="945" t="n"/>
    </row>
    <row r="9" ht="17.25" customHeight="1">
      <c r="A9" s="679" t="n"/>
      <c r="B9" s="679" t="n"/>
      <c r="C9" s="590" t="n"/>
      <c r="D9" s="598" t="n"/>
      <c r="E9" s="591" t="n"/>
      <c r="F9" s="415" t="inlineStr">
        <is>
          <t>使用量</t>
        </is>
      </c>
      <c r="G9" s="946" t="n"/>
      <c r="H9" s="947" t="n"/>
      <c r="I9" s="946" t="n"/>
      <c r="J9" s="946" t="n"/>
      <c r="K9" s="946" t="n"/>
      <c r="L9" s="9" t="n"/>
      <c r="M9" s="9" t="n"/>
      <c r="N9" s="9" t="n"/>
      <c r="O9" s="9" t="n"/>
      <c r="P9" s="9" t="n"/>
      <c r="Q9" s="9" t="n"/>
      <c r="R9" s="938" t="n"/>
    </row>
    <row r="10" ht="17.25" customHeight="1">
      <c r="A10" s="679" t="n"/>
      <c r="B10" s="679" t="n"/>
      <c r="C10" s="763" t="inlineStr">
        <is>
          <t>引込・受電設定</t>
        </is>
      </c>
      <c r="D10" s="586" t="n"/>
      <c r="E10" s="587" t="n"/>
      <c r="F10" s="414" t="inlineStr">
        <is>
          <t>手動/自動</t>
        </is>
      </c>
      <c r="G10" s="333" t="n"/>
      <c r="H10" s="332" t="n"/>
      <c r="I10" s="333" t="n"/>
      <c r="J10" s="333" t="n"/>
      <c r="K10" s="333" t="n"/>
      <c r="L10" s="9" t="n"/>
      <c r="M10" s="417" t="n"/>
      <c r="N10" s="417" t="n"/>
      <c r="O10" s="9" t="n"/>
      <c r="P10" s="9" t="n"/>
      <c r="Q10" s="9" t="n"/>
      <c r="R10" s="345" t="n"/>
    </row>
    <row r="11" ht="17.25" customHeight="1">
      <c r="A11" s="679" t="n"/>
      <c r="B11" s="626" t="n"/>
      <c r="C11" s="590" t="n"/>
      <c r="D11" s="598" t="n"/>
      <c r="E11" s="591" t="n"/>
      <c r="F11" s="415" t="inlineStr">
        <is>
          <t>切/入</t>
        </is>
      </c>
      <c r="G11" s="416" t="n"/>
      <c r="H11" s="426" t="n"/>
      <c r="I11" s="416" t="n"/>
      <c r="J11" s="416" t="n"/>
      <c r="K11" s="416" t="n"/>
      <c r="L11" s="9" t="n"/>
      <c r="M11" s="417" t="n"/>
      <c r="N11" s="417" t="n"/>
      <c r="O11" s="9" t="n"/>
      <c r="P11" s="9" t="n"/>
      <c r="Q11" s="9" t="n"/>
      <c r="R11" s="345" t="n"/>
    </row>
    <row r="12" ht="17.25" customHeight="1">
      <c r="A12" s="679" t="n"/>
      <c r="B12" s="783" t="inlineStr">
        <is>
          <t>変圧器</t>
        </is>
      </c>
      <c r="C12" s="760" t="inlineStr">
        <is>
          <t>主変圧器温度</t>
        </is>
      </c>
      <c r="D12" s="586" t="n"/>
      <c r="E12" s="587" t="n"/>
      <c r="F12" s="414" t="inlineStr">
        <is>
          <t>℃</t>
        </is>
      </c>
      <c r="G12" s="333" t="n"/>
      <c r="H12" s="332" t="n"/>
      <c r="I12" s="333" t="n"/>
      <c r="J12" s="333" t="n"/>
      <c r="K12" s="333" t="n"/>
      <c r="L12" s="9" t="n"/>
      <c r="M12" s="9" t="n"/>
      <c r="N12" s="9" t="n"/>
      <c r="O12" s="9" t="n"/>
      <c r="P12" s="9" t="n"/>
      <c r="Q12" s="9" t="n"/>
      <c r="R12" s="345" t="n"/>
    </row>
    <row r="13" ht="17.25" customHeight="1">
      <c r="A13" s="679" t="n"/>
      <c r="B13" s="626" t="n"/>
      <c r="C13" s="774" t="inlineStr">
        <is>
          <t>異音、脱臭の有無</t>
        </is>
      </c>
      <c r="D13" s="598" t="n"/>
      <c r="E13" s="591" t="n"/>
      <c r="F13" s="415" t="inlineStr">
        <is>
          <t>有・無</t>
        </is>
      </c>
      <c r="G13" s="416" t="n"/>
      <c r="H13" s="426" t="n"/>
      <c r="I13" s="416" t="n"/>
      <c r="J13" s="416" t="n"/>
      <c r="K13" s="416" t="n"/>
      <c r="L13" s="9" t="n"/>
      <c r="M13" s="417" t="n"/>
      <c r="N13" s="417" t="n"/>
      <c r="O13" s="9" t="n"/>
      <c r="P13" s="9" t="n"/>
      <c r="Q13" s="9" t="n"/>
      <c r="R13" s="345" t="n"/>
    </row>
    <row r="14" ht="17.25" customHeight="1">
      <c r="A14" s="679" t="n"/>
      <c r="B14" s="759" t="inlineStr">
        <is>
          <t>低　　圧　　分　　岐</t>
        </is>
      </c>
      <c r="C14" s="763" t="inlineStr">
        <is>
          <t>動力（２１０V）　電圧</t>
        </is>
      </c>
      <c r="D14" s="586" t="n"/>
      <c r="E14" s="587" t="n"/>
      <c r="F14" s="414" t="inlineStr">
        <is>
          <t>V</t>
        </is>
      </c>
      <c r="G14" s="333" t="n"/>
      <c r="H14" s="332" t="n"/>
      <c r="I14" s="333" t="n"/>
      <c r="J14" s="333" t="n"/>
      <c r="K14" s="333" t="n"/>
      <c r="L14" s="9" t="n"/>
      <c r="M14" s="9" t="n"/>
      <c r="N14" s="9" t="n"/>
      <c r="O14" s="9" t="n"/>
      <c r="P14" s="9" t="n"/>
      <c r="Q14" s="9" t="n"/>
      <c r="R14" s="345" t="n"/>
    </row>
    <row r="15" ht="17.25" customHeight="1">
      <c r="A15" s="679" t="n"/>
      <c r="B15" s="679" t="n"/>
      <c r="C15" s="590" t="n"/>
      <c r="D15" s="598" t="n"/>
      <c r="E15" s="591" t="n"/>
      <c r="F15" s="415" t="inlineStr">
        <is>
          <t>モード</t>
        </is>
      </c>
      <c r="G15" s="416" t="n"/>
      <c r="H15" s="416" t="n"/>
      <c r="I15" s="416" t="n"/>
      <c r="J15" s="416" t="n"/>
      <c r="K15" s="416" t="n"/>
      <c r="L15" s="9" t="n"/>
      <c r="M15" s="9" t="n"/>
      <c r="N15" s="9" t="n"/>
      <c r="O15" s="9" t="n"/>
      <c r="P15" s="9" t="n"/>
      <c r="Q15" s="9" t="n"/>
      <c r="R15" s="345" t="n"/>
    </row>
    <row r="16" ht="17.25" customHeight="1">
      <c r="A16" s="679" t="n"/>
      <c r="B16" s="679" t="n"/>
      <c r="C16" s="763" t="inlineStr">
        <is>
          <t>動力（２１０V）　電流</t>
        </is>
      </c>
      <c r="D16" s="586" t="n"/>
      <c r="E16" s="587" t="n"/>
      <c r="F16" s="428" t="inlineStr">
        <is>
          <t>A</t>
        </is>
      </c>
      <c r="G16" s="429" t="n"/>
      <c r="H16" s="430" t="n"/>
      <c r="I16" s="429" t="n"/>
      <c r="J16" s="429" t="n"/>
      <c r="K16" s="429" t="n"/>
      <c r="L16" s="9" t="n"/>
      <c r="M16" s="9" t="n"/>
      <c r="N16" s="9" t="n"/>
      <c r="O16" s="9" t="n"/>
      <c r="P16" s="9" t="n"/>
      <c r="Q16" s="9" t="n"/>
      <c r="R16" s="345" t="n"/>
    </row>
    <row r="17" ht="17.25" customHeight="1">
      <c r="A17" s="679" t="n"/>
      <c r="B17" s="679" t="n"/>
      <c r="C17" s="590" t="n"/>
      <c r="D17" s="598" t="n"/>
      <c r="E17" s="591" t="n"/>
      <c r="F17" s="431" t="inlineStr">
        <is>
          <t>モード</t>
        </is>
      </c>
      <c r="G17" s="416" t="n"/>
      <c r="H17" s="416" t="n"/>
      <c r="I17" s="416" t="n"/>
      <c r="J17" s="416" t="n"/>
      <c r="K17" s="416" t="n"/>
      <c r="L17" s="9" t="n"/>
      <c r="M17" s="9" t="n"/>
      <c r="N17" s="9" t="n"/>
      <c r="O17" s="9" t="n"/>
      <c r="P17" s="9" t="n"/>
      <c r="Q17" s="9" t="n"/>
      <c r="R17" s="345" t="n"/>
    </row>
    <row r="18" ht="17.25" customHeight="1">
      <c r="A18" s="679" t="n"/>
      <c r="B18" s="679" t="n"/>
      <c r="C18" s="763" t="inlineStr">
        <is>
          <t>照明(210-105V)　電流</t>
        </is>
      </c>
      <c r="D18" s="586" t="n"/>
      <c r="E18" s="587" t="n"/>
      <c r="F18" s="428" t="inlineStr">
        <is>
          <t>A</t>
        </is>
      </c>
      <c r="G18" s="429" t="n"/>
      <c r="H18" s="430" t="n"/>
      <c r="I18" s="429" t="n"/>
      <c r="J18" s="429" t="n"/>
      <c r="K18" s="429" t="n"/>
      <c r="L18" s="9" t="n"/>
      <c r="M18" s="9" t="n"/>
      <c r="N18" s="9" t="n"/>
      <c r="O18" s="9" t="n"/>
      <c r="P18" s="9" t="n"/>
      <c r="Q18" s="9" t="n"/>
      <c r="R18" s="345" t="n"/>
    </row>
    <row r="19" ht="17.25" customHeight="1">
      <c r="A19" s="679" t="n"/>
      <c r="B19" s="679" t="n"/>
      <c r="C19" s="590" t="n"/>
      <c r="D19" s="598" t="n"/>
      <c r="E19" s="591" t="n"/>
      <c r="F19" s="431" t="inlineStr">
        <is>
          <t>モード</t>
        </is>
      </c>
      <c r="G19" s="416" t="n"/>
      <c r="H19" s="416" t="n"/>
      <c r="I19" s="416" t="n"/>
      <c r="J19" s="416" t="n"/>
      <c r="K19" s="416" t="n"/>
      <c r="L19" s="9" t="n"/>
      <c r="M19" s="417" t="n"/>
      <c r="N19" s="417" t="n"/>
      <c r="O19" s="417" t="n"/>
      <c r="P19" s="9" t="n"/>
      <c r="Q19" s="9" t="n"/>
      <c r="R19" s="432" t="n"/>
    </row>
    <row r="20" ht="17.25" customHeight="1">
      <c r="A20" s="679" t="n"/>
      <c r="B20" s="679" t="n"/>
      <c r="C20" s="763" t="inlineStr">
        <is>
          <t>低圧分岐設備</t>
        </is>
      </c>
      <c r="D20" s="574" t="n"/>
      <c r="E20" s="580" t="n"/>
      <c r="F20" s="418" t="inlineStr">
        <is>
          <t>買電/自家発</t>
        </is>
      </c>
      <c r="G20" s="309" t="n"/>
      <c r="H20" s="308" t="n"/>
      <c r="I20" s="309" t="n"/>
      <c r="J20" s="309" t="n"/>
      <c r="K20" s="309" t="n"/>
      <c r="L20" s="9" t="n"/>
      <c r="M20" s="417" t="n"/>
      <c r="N20" s="417" t="n"/>
      <c r="O20" s="9" t="n"/>
      <c r="P20" s="9" t="n"/>
      <c r="Q20" s="9" t="n"/>
      <c r="R20" s="345" t="n"/>
    </row>
    <row r="21" ht="17.25" customHeight="1">
      <c r="A21" s="679" t="n"/>
      <c r="B21" s="679" t="n"/>
      <c r="C21" s="760" t="inlineStr">
        <is>
          <t>沈砂池ポンプ設備</t>
        </is>
      </c>
      <c r="D21" s="586" t="n"/>
      <c r="E21" s="587" t="n"/>
      <c r="F21" s="428" t="inlineStr">
        <is>
          <t>読み</t>
        </is>
      </c>
      <c r="G21" s="429" t="n"/>
      <c r="H21" s="430" t="n"/>
      <c r="I21" s="429" t="n"/>
      <c r="J21" s="429" t="n"/>
      <c r="K21" s="429" t="n"/>
      <c r="L21" s="9" t="n"/>
      <c r="M21" s="9" t="n"/>
      <c r="N21" s="9" t="n"/>
      <c r="O21" s="9" t="n"/>
      <c r="P21" s="9" t="n"/>
      <c r="Q21" s="9" t="n"/>
      <c r="R21" s="345" t="n"/>
    </row>
    <row r="22" ht="17.25" customHeight="1">
      <c r="A22" s="679" t="n"/>
      <c r="B22" s="679" t="n"/>
      <c r="C22" s="774" t="inlineStr">
        <is>
          <t>（×１ｋｗｈ）</t>
        </is>
      </c>
      <c r="D22" s="598" t="n"/>
      <c r="E22" s="591" t="n"/>
      <c r="F22" s="415" t="inlineStr">
        <is>
          <t>使用量</t>
        </is>
      </c>
      <c r="G22" s="946" t="n"/>
      <c r="H22" s="947" t="n"/>
      <c r="I22" s="946" t="n"/>
      <c r="J22" s="946" t="n"/>
      <c r="K22" s="946" t="n"/>
      <c r="L22" s="9" t="n"/>
      <c r="M22" s="417" t="n"/>
      <c r="N22" s="417" t="n"/>
      <c r="O22" s="417" t="n"/>
      <c r="P22" s="9" t="n"/>
      <c r="Q22" s="9" t="n"/>
      <c r="R22" s="433" t="n"/>
    </row>
    <row r="23" ht="17.25" customHeight="1">
      <c r="A23" s="679" t="n"/>
      <c r="B23" s="679" t="n"/>
      <c r="C23" s="760" t="inlineStr">
        <is>
          <t>水処理設備（１）</t>
        </is>
      </c>
      <c r="D23" s="586" t="n"/>
      <c r="E23" s="587" t="n"/>
      <c r="F23" s="428" t="inlineStr">
        <is>
          <t>読み</t>
        </is>
      </c>
      <c r="G23" s="429" t="n"/>
      <c r="H23" s="430" t="n"/>
      <c r="I23" s="429" t="n"/>
      <c r="J23" s="429" t="n"/>
      <c r="K23" s="429" t="n"/>
      <c r="L23" s="9" t="n"/>
      <c r="M23" s="9" t="n"/>
      <c r="N23" s="9" t="n"/>
      <c r="O23" s="9" t="n"/>
      <c r="P23" s="9" t="n"/>
      <c r="Q23" s="9" t="n"/>
      <c r="R23" s="345" t="n"/>
    </row>
    <row r="24" ht="17.25" customHeight="1">
      <c r="A24" s="679" t="n"/>
      <c r="B24" s="679" t="n"/>
      <c r="C24" s="774" t="inlineStr">
        <is>
          <t>（×１ｋｗｈ）</t>
        </is>
      </c>
      <c r="D24" s="598" t="n"/>
      <c r="E24" s="591" t="n"/>
      <c r="F24" s="415" t="inlineStr">
        <is>
          <t>使用量</t>
        </is>
      </c>
      <c r="G24" s="946" t="n"/>
      <c r="H24" s="947" t="n"/>
      <c r="I24" s="946" t="n"/>
      <c r="J24" s="946" t="n"/>
      <c r="K24" s="946" t="n"/>
      <c r="L24" s="9" t="n"/>
      <c r="M24" s="9" t="n"/>
      <c r="N24" s="9" t="n"/>
      <c r="O24" s="9" t="n"/>
      <c r="P24" s="9" t="n"/>
      <c r="Q24" s="9" t="n"/>
      <c r="R24" s="433" t="n"/>
    </row>
    <row r="25" ht="17.25" customHeight="1">
      <c r="A25" s="679" t="n"/>
      <c r="B25" s="679" t="n"/>
      <c r="C25" s="760" t="inlineStr">
        <is>
          <t>水処理設備（２）</t>
        </is>
      </c>
      <c r="D25" s="586" t="n"/>
      <c r="E25" s="587" t="n"/>
      <c r="F25" s="428" t="inlineStr">
        <is>
          <t>読み</t>
        </is>
      </c>
      <c r="G25" s="429" t="n"/>
      <c r="H25" s="430" t="n"/>
      <c r="I25" s="429" t="n"/>
      <c r="J25" s="429" t="n"/>
      <c r="K25" s="429" t="n"/>
      <c r="L25" s="9" t="n"/>
      <c r="M25" s="9" t="n"/>
      <c r="N25" s="9" t="n"/>
      <c r="O25" s="9" t="n"/>
      <c r="P25" s="9" t="n"/>
      <c r="Q25" s="9" t="n"/>
      <c r="R25" s="345" t="n"/>
    </row>
    <row r="26" ht="17.25" customHeight="1">
      <c r="A26" s="679" t="n"/>
      <c r="B26" s="679" t="n"/>
      <c r="C26" s="774" t="inlineStr">
        <is>
          <t>（×１ｋｗｈ）</t>
        </is>
      </c>
      <c r="D26" s="598" t="n"/>
      <c r="E26" s="591" t="n"/>
      <c r="F26" s="415" t="inlineStr">
        <is>
          <t>使用量</t>
        </is>
      </c>
      <c r="G26" s="946" t="n"/>
      <c r="H26" s="947" t="n"/>
      <c r="I26" s="946" t="n"/>
      <c r="J26" s="946" t="n"/>
      <c r="K26" s="946" t="n"/>
      <c r="L26" s="9" t="n"/>
      <c r="M26" s="9" t="n"/>
      <c r="N26" s="9" t="n"/>
      <c r="O26" s="9" t="n"/>
      <c r="P26" s="9" t="n"/>
      <c r="Q26" s="9" t="n"/>
      <c r="R26" s="433" t="n"/>
    </row>
    <row r="27" ht="17.25" customHeight="1">
      <c r="A27" s="679" t="n"/>
      <c r="B27" s="679" t="n"/>
      <c r="C27" s="760" t="inlineStr">
        <is>
          <t>汚泥処理設備電力量</t>
        </is>
      </c>
      <c r="D27" s="586" t="n"/>
      <c r="E27" s="587" t="n"/>
      <c r="F27" s="428" t="inlineStr">
        <is>
          <t>読み</t>
        </is>
      </c>
      <c r="G27" s="429" t="n"/>
      <c r="H27" s="430" t="n"/>
      <c r="I27" s="429" t="n"/>
      <c r="J27" s="429" t="n"/>
      <c r="K27" s="429" t="n"/>
      <c r="L27" s="9" t="n"/>
      <c r="M27" s="9" t="n"/>
      <c r="N27" s="9" t="n"/>
      <c r="O27" s="9" t="n"/>
      <c r="P27" s="9" t="n"/>
      <c r="Q27" s="9" t="n"/>
      <c r="R27" s="345" t="n"/>
    </row>
    <row r="28" ht="17.25" customHeight="1">
      <c r="A28" s="679" t="n"/>
      <c r="B28" s="679" t="n"/>
      <c r="C28" s="774" t="inlineStr">
        <is>
          <t>（×１ｋｗｈ）</t>
        </is>
      </c>
      <c r="D28" s="598" t="n"/>
      <c r="E28" s="591" t="n"/>
      <c r="F28" s="415" t="inlineStr">
        <is>
          <t>使用量</t>
        </is>
      </c>
      <c r="G28" s="946" t="n"/>
      <c r="H28" s="947" t="n"/>
      <c r="I28" s="946" t="n"/>
      <c r="J28" s="946" t="n"/>
      <c r="K28" s="946" t="n"/>
      <c r="L28" s="9" t="n"/>
      <c r="M28" s="9" t="n"/>
      <c r="N28" s="9" t="n"/>
      <c r="O28" s="9" t="n"/>
      <c r="P28" s="9" t="n"/>
      <c r="Q28" s="9" t="n"/>
      <c r="R28" s="433" t="n"/>
    </row>
    <row r="29" ht="17.25" customHeight="1">
      <c r="A29" s="679" t="n"/>
      <c r="B29" s="679" t="n"/>
      <c r="C29" s="763" t="inlineStr">
        <is>
          <t>No.１　コンデンサー(電磁接触器)</t>
        </is>
      </c>
      <c r="D29" s="574" t="n"/>
      <c r="E29" s="580" t="n"/>
      <c r="F29" s="765" t="inlineStr">
        <is>
          <t>切/入</t>
        </is>
      </c>
      <c r="G29" s="309" t="n"/>
      <c r="H29" s="309" t="n"/>
      <c r="I29" s="309" t="n"/>
      <c r="J29" s="309" t="n"/>
      <c r="K29" s="309" t="n"/>
      <c r="L29" s="9" t="n"/>
      <c r="M29" s="417" t="n"/>
      <c r="N29" s="417" t="n"/>
      <c r="O29" s="9" t="n"/>
      <c r="P29" s="9" t="n"/>
      <c r="Q29" s="9" t="n"/>
      <c r="R29" s="345" t="n"/>
    </row>
    <row r="30" ht="17.25" customHeight="1">
      <c r="A30" s="679" t="n"/>
      <c r="B30" s="679" t="n"/>
      <c r="C30" s="763" t="inlineStr">
        <is>
          <t>No.２　コンデンサー(電磁接触器)</t>
        </is>
      </c>
      <c r="D30" s="574" t="n"/>
      <c r="E30" s="580" t="n"/>
      <c r="F30" s="765" t="inlineStr">
        <is>
          <t>切/入</t>
        </is>
      </c>
      <c r="G30" s="309" t="n"/>
      <c r="H30" s="309" t="n"/>
      <c r="I30" s="309" t="n"/>
      <c r="J30" s="309" t="n"/>
      <c r="K30" s="309" t="n"/>
      <c r="L30" s="9" t="n"/>
      <c r="M30" s="9" t="n"/>
      <c r="N30" s="9" t="n"/>
      <c r="O30" s="9" t="n"/>
      <c r="P30" s="9" t="n"/>
      <c r="Q30" s="9" t="n"/>
      <c r="R30" s="345" t="n"/>
    </row>
    <row r="31" ht="17.25" customHeight="1">
      <c r="A31" s="626" t="n"/>
      <c r="B31" s="626" t="n"/>
      <c r="C31" s="763" t="inlineStr">
        <is>
          <t>No.３　コンデンサー(電磁接触器)</t>
        </is>
      </c>
      <c r="D31" s="574" t="n"/>
      <c r="E31" s="580" t="n"/>
      <c r="F31" s="765" t="inlineStr">
        <is>
          <t>切/入</t>
        </is>
      </c>
      <c r="G31" s="309" t="n"/>
      <c r="H31" s="309" t="n"/>
      <c r="I31" s="309" t="n"/>
      <c r="J31" s="309" t="n"/>
      <c r="K31" s="309" t="n"/>
      <c r="L31" s="9" t="n"/>
      <c r="M31" s="9" t="n"/>
      <c r="N31" s="9" t="n"/>
      <c r="O31" s="9" t="n"/>
      <c r="P31" s="9" t="n"/>
      <c r="Q31" s="9" t="n"/>
      <c r="R31" s="345" t="n"/>
    </row>
    <row r="32" ht="13.5" customHeight="1">
      <c r="A32" s="781" t="inlineStr">
        <is>
          <t>備　考</t>
        </is>
      </c>
      <c r="B32" s="360" t="n"/>
      <c r="C32" s="747" t="n"/>
      <c r="D32" s="747" t="n"/>
      <c r="E32" s="747" t="n"/>
      <c r="F32" s="747" t="n"/>
      <c r="G32" s="747" t="n"/>
      <c r="H32" s="747" t="n"/>
      <c r="I32" s="747" t="n"/>
      <c r="J32" s="747" t="n"/>
      <c r="K32" s="435" t="n"/>
      <c r="L32" s="9" t="n"/>
      <c r="M32" s="9" t="n"/>
      <c r="N32" s="9" t="n"/>
      <c r="O32" s="9" t="n"/>
      <c r="P32" s="9" t="n"/>
      <c r="Q32" s="9" t="n"/>
      <c r="R32" s="9" t="n"/>
    </row>
    <row r="33" ht="13.5" customHeight="1">
      <c r="A33" s="679" t="n"/>
      <c r="B33" s="361" t="n"/>
      <c r="C33" s="128" t="n"/>
      <c r="D33" s="128" t="n"/>
      <c r="E33" s="128" t="n"/>
      <c r="F33" s="357" t="n"/>
      <c r="G33" s="371" t="n"/>
      <c r="H33" s="371" t="n"/>
      <c r="I33" s="371" t="n"/>
      <c r="J33" s="371" t="n"/>
      <c r="K33" s="436" t="n"/>
      <c r="L33" s="9" t="n"/>
      <c r="M33" s="9" t="n"/>
      <c r="N33" s="9" t="n"/>
      <c r="O33" s="9" t="n"/>
      <c r="P33" s="9" t="n"/>
      <c r="Q33" s="9" t="n"/>
      <c r="R33" s="9" t="n"/>
    </row>
    <row r="34" ht="13.5" customHeight="1">
      <c r="A34" s="626" t="n"/>
      <c r="B34" s="437" t="n"/>
      <c r="C34" s="438" t="n"/>
      <c r="D34" s="438" t="n"/>
      <c r="E34" s="438" t="n"/>
      <c r="F34" s="438" t="n"/>
      <c r="G34" s="439" t="n"/>
      <c r="H34" s="439" t="n"/>
      <c r="I34" s="439" t="n"/>
      <c r="J34" s="439" t="n"/>
      <c r="K34" s="440" t="n"/>
      <c r="L34" s="9" t="n"/>
      <c r="M34" s="9" t="n"/>
      <c r="N34" s="9" t="n"/>
      <c r="O34" s="9" t="n"/>
      <c r="P34" s="9" t="n"/>
      <c r="Q34" s="9" t="n"/>
      <c r="R34" s="9" t="n"/>
    </row>
    <row r="35" ht="13.5" customHeight="1">
      <c r="A35" s="441" t="n"/>
      <c r="B35" s="128" t="n"/>
      <c r="C35" s="128" t="n"/>
      <c r="D35" s="128" t="n"/>
      <c r="E35" s="128" t="n"/>
      <c r="F35" s="357" t="n"/>
      <c r="G35" s="371" t="n"/>
      <c r="H35" s="371" t="n"/>
      <c r="I35" s="371" t="n"/>
      <c r="J35" s="371" t="n"/>
      <c r="K35" s="371" t="n"/>
      <c r="L35" s="9" t="n"/>
      <c r="M35" s="9" t="n"/>
      <c r="N35" s="9" t="n"/>
      <c r="O35" s="9" t="n"/>
      <c r="P35" s="9" t="n"/>
      <c r="Q35" s="9" t="n"/>
      <c r="R35" s="9" t="n"/>
    </row>
    <row r="36" ht="13.5" customHeight="1">
      <c r="A36" s="441" t="n"/>
      <c r="B36" s="128" t="n"/>
      <c r="C36" s="128" t="n"/>
      <c r="D36" s="128" t="n"/>
      <c r="E36" s="128" t="n"/>
      <c r="F36" s="357" t="n"/>
      <c r="G36" s="371" t="n"/>
      <c r="H36" s="371" t="n"/>
      <c r="I36" s="371" t="n"/>
      <c r="J36" s="442" t="n"/>
      <c r="K36" s="371" t="n"/>
      <c r="L36" s="9" t="n"/>
      <c r="M36" s="9" t="n"/>
      <c r="N36" s="9" t="n"/>
      <c r="O36" s="9" t="n"/>
      <c r="P36" s="9" t="n"/>
      <c r="Q36" s="9" t="n"/>
      <c r="R36" s="9" t="n"/>
    </row>
    <row r="37" ht="21" customHeight="1">
      <c r="A37" s="299" t="inlineStr">
        <is>
          <t xml:space="preserve">　電気設備日常点検（２/３）</t>
        </is>
      </c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355">
        <f>K1</f>
        <v/>
      </c>
      <c r="L37" s="9" t="n"/>
      <c r="M37" s="9" t="n"/>
      <c r="N37" s="9" t="n"/>
      <c r="O37" s="9" t="n"/>
      <c r="P37" s="9" t="n"/>
      <c r="Q37" s="9" t="n"/>
      <c r="R37" s="9" t="n"/>
    </row>
    <row r="38" ht="16.5" customHeight="1">
      <c r="A38" s="768" t="n"/>
      <c r="B38" s="765" t="inlineStr">
        <is>
          <t>機器名</t>
        </is>
      </c>
      <c r="C38" s="587" t="n"/>
      <c r="D38" s="765" t="inlineStr">
        <is>
          <t>点　　検　　者　　氏　　名</t>
        </is>
      </c>
      <c r="E38" s="574" t="n"/>
      <c r="F38" s="580" t="n"/>
      <c r="G38" s="309" t="n"/>
      <c r="H38" s="308" t="n"/>
      <c r="I38" s="309" t="n"/>
      <c r="J38" s="309" t="n"/>
      <c r="K38" s="309" t="n"/>
      <c r="L38" s="9" t="n"/>
      <c r="M38" s="9" t="n"/>
      <c r="N38" s="9" t="n"/>
      <c r="O38" s="9" t="n"/>
      <c r="P38" s="9" t="n"/>
      <c r="Q38" s="9" t="n"/>
      <c r="R38" s="9" t="n"/>
    </row>
    <row r="39" ht="16.5" customHeight="1">
      <c r="A39" s="626" t="n"/>
      <c r="B39" s="590" t="n"/>
      <c r="C39" s="591" t="n"/>
      <c r="D39" s="765" t="inlineStr">
        <is>
          <t>点　　　検　　　内　　　容</t>
        </is>
      </c>
      <c r="E39" s="574" t="n"/>
      <c r="F39" s="580" t="n"/>
      <c r="G39" s="948" t="n"/>
      <c r="H39" s="949" t="n"/>
      <c r="I39" s="948" t="n"/>
      <c r="J39" s="948" t="n"/>
      <c r="K39" s="948" t="n"/>
      <c r="L39" s="9" t="n"/>
      <c r="M39" s="9" t="n"/>
      <c r="N39" s="9" t="n"/>
      <c r="O39" s="9" t="n"/>
      <c r="P39" s="9" t="n"/>
      <c r="Q39" s="9" t="n"/>
      <c r="R39" s="9" t="n"/>
    </row>
    <row r="40" ht="16.5" customHeight="1">
      <c r="A40" s="775" t="inlineStr">
        <is>
          <t>計　　　　　装　　　　　設　　　　　備</t>
        </is>
      </c>
      <c r="B40" s="767" t="inlineStr">
        <is>
          <t>Nｏ．１オキシデーションディッチＤＯ計</t>
        </is>
      </c>
      <c r="C40" s="587" t="n"/>
      <c r="D40" s="773" t="inlineStr">
        <is>
          <t>外観の確認</t>
        </is>
      </c>
      <c r="E40" s="950" t="n"/>
      <c r="F40" s="445" t="n"/>
      <c r="G40" s="333" t="n"/>
      <c r="H40" s="332" t="n"/>
      <c r="I40" s="333" t="n"/>
      <c r="J40" s="333" t="n"/>
      <c r="K40" s="333" t="n"/>
      <c r="L40" s="9" t="n"/>
      <c r="M40" s="417" t="n"/>
      <c r="N40" s="417" t="n"/>
      <c r="O40" s="417" t="n"/>
      <c r="P40" s="369" t="n"/>
      <c r="Q40" s="9" t="n"/>
      <c r="R40" s="9" t="n"/>
    </row>
    <row r="41" ht="16.5" customHeight="1">
      <c r="A41" s="679" t="n"/>
      <c r="B41" s="613" t="n"/>
      <c r="C41" s="602" t="n"/>
      <c r="D41" s="777" t="inlineStr">
        <is>
          <t>指示状況の確認</t>
        </is>
      </c>
      <c r="E41" s="951" t="n"/>
      <c r="F41" s="446" t="n"/>
      <c r="G41" s="447" t="n"/>
      <c r="H41" s="448" t="n"/>
      <c r="I41" s="447" t="n"/>
      <c r="J41" s="447" t="n"/>
      <c r="K41" s="447" t="n"/>
      <c r="L41" s="9" t="n"/>
      <c r="M41" s="9" t="n"/>
      <c r="N41" s="9" t="n"/>
      <c r="O41" s="9" t="n"/>
      <c r="P41" s="9" t="n"/>
      <c r="Q41" s="9" t="n"/>
      <c r="R41" s="9" t="n"/>
    </row>
    <row r="42" ht="16.5" customHeight="1">
      <c r="A42" s="679" t="n"/>
      <c r="B42" s="590" t="n"/>
      <c r="C42" s="591" t="n"/>
      <c r="D42" s="762" t="inlineStr">
        <is>
          <t>ＤＯ値</t>
        </is>
      </c>
      <c r="E42" s="952" t="n"/>
      <c r="F42" s="449" t="inlineStr">
        <is>
          <t>㎎/ℓ</t>
        </is>
      </c>
      <c r="G42" s="450" t="n"/>
      <c r="H42" s="451" t="n"/>
      <c r="I42" s="450" t="n"/>
      <c r="J42" s="450" t="n"/>
      <c r="K42" s="450" t="n"/>
      <c r="L42" s="9" t="n"/>
      <c r="M42" s="9" t="n"/>
      <c r="N42" s="9" t="n"/>
      <c r="O42" s="9" t="n"/>
      <c r="P42" s="9" t="n"/>
      <c r="Q42" s="9" t="n"/>
      <c r="R42" s="9" t="n"/>
    </row>
    <row r="43" ht="16.5" customHeight="1">
      <c r="A43" s="679" t="n"/>
      <c r="B43" s="767" t="inlineStr">
        <is>
          <t>Nｏ．２オキシデーションディッチＤＯ計</t>
        </is>
      </c>
      <c r="C43" s="587" t="n"/>
      <c r="D43" s="773" t="inlineStr">
        <is>
          <t>外観の確認</t>
        </is>
      </c>
      <c r="E43" s="950" t="n"/>
      <c r="F43" s="445" t="n"/>
      <c r="G43" s="333" t="n"/>
      <c r="H43" s="332" t="n"/>
      <c r="I43" s="333" t="n"/>
      <c r="J43" s="333" t="n"/>
      <c r="K43" s="333" t="n"/>
      <c r="L43" s="9" t="n"/>
      <c r="M43" s="9" t="n"/>
      <c r="N43" s="9" t="n"/>
      <c r="O43" s="9" t="n"/>
      <c r="P43" s="9" t="n"/>
      <c r="Q43" s="9" t="n"/>
      <c r="R43" s="9" t="n"/>
    </row>
    <row r="44" ht="16.5" customHeight="1">
      <c r="A44" s="679" t="n"/>
      <c r="B44" s="613" t="n"/>
      <c r="C44" s="602" t="n"/>
      <c r="D44" s="777" t="inlineStr">
        <is>
          <t>指示状況の確認</t>
        </is>
      </c>
      <c r="E44" s="951" t="n"/>
      <c r="F44" s="446" t="n"/>
      <c r="G44" s="447" t="n"/>
      <c r="H44" s="448" t="n"/>
      <c r="I44" s="447" t="n"/>
      <c r="J44" s="447" t="n"/>
      <c r="K44" s="447" t="n"/>
      <c r="L44" s="9" t="n"/>
      <c r="M44" s="9" t="n"/>
      <c r="N44" s="9" t="n"/>
      <c r="O44" s="9" t="n"/>
      <c r="P44" s="9" t="n"/>
      <c r="Q44" s="9" t="n"/>
      <c r="R44" s="9" t="n"/>
    </row>
    <row r="45" ht="16.5" customHeight="1">
      <c r="A45" s="679" t="n"/>
      <c r="B45" s="590" t="n"/>
      <c r="C45" s="591" t="n"/>
      <c r="D45" s="762" t="inlineStr">
        <is>
          <t>ＤＯ値</t>
        </is>
      </c>
      <c r="E45" s="952" t="n"/>
      <c r="F45" s="449" t="inlineStr">
        <is>
          <t>㎎/ℓ</t>
        </is>
      </c>
      <c r="G45" s="452" t="n"/>
      <c r="H45" s="453" t="n"/>
      <c r="I45" s="452" t="n"/>
      <c r="J45" s="452" t="n"/>
      <c r="K45" s="452" t="n"/>
      <c r="L45" s="9" t="n"/>
      <c r="M45" s="9" t="n"/>
      <c r="N45" s="9" t="n"/>
      <c r="O45" s="9" t="n"/>
      <c r="P45" s="9" t="n"/>
      <c r="Q45" s="9" t="n"/>
      <c r="R45" s="9" t="n"/>
    </row>
    <row r="46" ht="16.5" customHeight="1">
      <c r="A46" s="679" t="n"/>
      <c r="B46" s="767" t="inlineStr">
        <is>
          <t>Nｏ．１返送汚泥流量計</t>
        </is>
      </c>
      <c r="C46" s="587" t="n"/>
      <c r="D46" s="773" t="inlineStr">
        <is>
          <t>外観の確認</t>
        </is>
      </c>
      <c r="E46" s="950" t="n"/>
      <c r="F46" s="445" t="n"/>
      <c r="G46" s="333" t="n"/>
      <c r="H46" s="332" t="n"/>
      <c r="I46" s="333" t="n"/>
      <c r="J46" s="333" t="n"/>
      <c r="K46" s="333" t="n"/>
      <c r="L46" s="9" t="n"/>
      <c r="M46" s="9" t="n"/>
      <c r="N46" s="9" t="n"/>
      <c r="O46" s="9" t="n"/>
      <c r="P46" s="9" t="n"/>
      <c r="Q46" s="9" t="n"/>
      <c r="R46" s="9" t="n"/>
    </row>
    <row r="47" ht="16.5" customHeight="1">
      <c r="A47" s="679" t="n"/>
      <c r="B47" s="613" t="n"/>
      <c r="C47" s="602" t="n"/>
      <c r="D47" s="771" t="inlineStr">
        <is>
          <t>指示状況の確認</t>
        </is>
      </c>
      <c r="E47" s="641" t="n"/>
      <c r="F47" s="459" t="n"/>
      <c r="G47" s="447" t="n"/>
      <c r="H47" s="448" t="n"/>
      <c r="I47" s="447" t="n"/>
      <c r="J47" s="447" t="n"/>
      <c r="K47" s="447" t="n"/>
      <c r="L47" s="9" t="n"/>
      <c r="M47" s="9" t="n"/>
      <c r="N47" s="9" t="n"/>
      <c r="O47" s="9" t="n"/>
      <c r="P47" s="9" t="n"/>
      <c r="Q47" s="9" t="n"/>
      <c r="R47" s="9" t="n"/>
    </row>
    <row r="48" ht="16.5" customHeight="1">
      <c r="A48" s="679" t="n"/>
      <c r="B48" s="613" t="n"/>
      <c r="C48" s="602" t="n"/>
      <c r="D48" s="771" t="inlineStr">
        <is>
          <t>流量計の読み</t>
        </is>
      </c>
      <c r="E48" s="641" t="n"/>
      <c r="F48" s="459" t="inlineStr">
        <is>
          <t>㎥/ｈ</t>
        </is>
      </c>
      <c r="G48" s="454" t="n"/>
      <c r="H48" s="455" t="n"/>
      <c r="I48" s="454" t="n"/>
      <c r="J48" s="454" t="n"/>
      <c r="K48" s="454" t="n"/>
      <c r="L48" s="9" t="n"/>
      <c r="M48" s="9" t="n"/>
      <c r="N48" s="9" t="n"/>
      <c r="O48" s="9" t="n"/>
      <c r="P48" s="9" t="n"/>
      <c r="Q48" s="9" t="n"/>
      <c r="R48" s="9" t="n"/>
    </row>
    <row r="49" ht="16.5" customHeight="1">
      <c r="A49" s="679" t="n"/>
      <c r="B49" s="590" t="n"/>
      <c r="C49" s="591" t="n"/>
      <c r="D49" s="772" t="inlineStr">
        <is>
          <t>流量計積算計読み</t>
        </is>
      </c>
      <c r="E49" s="608" t="n"/>
      <c r="F49" s="449" t="inlineStr">
        <is>
          <t>㎥</t>
        </is>
      </c>
      <c r="G49" s="843" t="n"/>
      <c r="H49" s="842" t="n"/>
      <c r="I49" s="843" t="n"/>
      <c r="J49" s="843" t="n"/>
      <c r="K49" s="843" t="n"/>
      <c r="L49" s="9" t="n"/>
      <c r="M49" s="9" t="n"/>
      <c r="N49" s="9" t="n"/>
      <c r="O49" s="9" t="n"/>
      <c r="P49" s="9" t="n"/>
      <c r="Q49" s="9" t="n"/>
      <c r="R49" s="9" t="n"/>
    </row>
    <row r="50" ht="16.5" customHeight="1">
      <c r="A50" s="679" t="n"/>
      <c r="B50" s="767" t="inlineStr">
        <is>
          <t>Nｏ．２返送汚泥流量計</t>
        </is>
      </c>
      <c r="C50" s="587" t="n"/>
      <c r="D50" s="773" t="inlineStr">
        <is>
          <t>外観の確認</t>
        </is>
      </c>
      <c r="E50" s="950" t="n"/>
      <c r="F50" s="445" t="n"/>
      <c r="G50" s="333" t="n"/>
      <c r="H50" s="332" t="n"/>
      <c r="I50" s="333" t="n"/>
      <c r="J50" s="333" t="n"/>
      <c r="K50" s="333" t="n"/>
      <c r="L50" s="9" t="n"/>
      <c r="M50" s="9" t="n"/>
      <c r="N50" s="9" t="n"/>
      <c r="O50" s="9" t="n"/>
      <c r="P50" s="9" t="n"/>
      <c r="Q50" s="9" t="n"/>
      <c r="R50" s="9" t="n"/>
    </row>
    <row r="51" ht="16.5" customHeight="1">
      <c r="A51" s="679" t="n"/>
      <c r="B51" s="613" t="n"/>
      <c r="C51" s="602" t="n"/>
      <c r="D51" s="771" t="inlineStr">
        <is>
          <t>指示状況の確認</t>
        </is>
      </c>
      <c r="E51" s="641" t="n"/>
      <c r="F51" s="459" t="n"/>
      <c r="G51" s="447" t="n"/>
      <c r="H51" s="448" t="n"/>
      <c r="I51" s="447" t="n"/>
      <c r="J51" s="447" t="n"/>
      <c r="K51" s="447" t="n"/>
      <c r="L51" s="9" t="n"/>
      <c r="M51" s="9" t="n"/>
      <c r="N51" s="9" t="n"/>
      <c r="O51" s="9" t="n"/>
      <c r="P51" s="9" t="n"/>
      <c r="Q51" s="9" t="n"/>
      <c r="R51" s="9" t="n"/>
    </row>
    <row r="52" ht="16.5" customHeight="1">
      <c r="A52" s="679" t="n"/>
      <c r="B52" s="613" t="n"/>
      <c r="C52" s="602" t="n"/>
      <c r="D52" s="771" t="inlineStr">
        <is>
          <t>流量計の読み</t>
        </is>
      </c>
      <c r="E52" s="641" t="n"/>
      <c r="F52" s="459" t="inlineStr">
        <is>
          <t>㎥/ｈ</t>
        </is>
      </c>
      <c r="G52" s="457" t="n"/>
      <c r="H52" s="458" t="n"/>
      <c r="I52" s="457" t="n"/>
      <c r="J52" s="457" t="n"/>
      <c r="K52" s="457" t="n"/>
      <c r="L52" s="9" t="n"/>
      <c r="M52" s="9" t="n"/>
      <c r="N52" s="9" t="n"/>
      <c r="O52" s="9" t="n"/>
      <c r="P52" s="9" t="n"/>
      <c r="Q52" s="9" t="n"/>
      <c r="R52" s="9" t="n"/>
    </row>
    <row r="53" ht="16.5" customHeight="1">
      <c r="A53" s="679" t="n"/>
      <c r="B53" s="590" t="n"/>
      <c r="C53" s="591" t="n"/>
      <c r="D53" s="772" t="inlineStr">
        <is>
          <t>流量計積算計読み</t>
        </is>
      </c>
      <c r="E53" s="608" t="n"/>
      <c r="F53" s="449" t="inlineStr">
        <is>
          <t>㎥</t>
        </is>
      </c>
      <c r="G53" s="843" t="n"/>
      <c r="H53" s="842" t="n"/>
      <c r="I53" s="843" t="n"/>
      <c r="J53" s="843" t="n"/>
      <c r="K53" s="843" t="n"/>
      <c r="L53" s="9" t="n"/>
      <c r="M53" s="9" t="n"/>
      <c r="N53" s="9" t="n"/>
      <c r="O53" s="9" t="n"/>
      <c r="P53" s="9" t="n"/>
      <c r="Q53" s="9" t="n"/>
      <c r="R53" s="9" t="n"/>
    </row>
    <row r="54" ht="16.5" customHeight="1">
      <c r="A54" s="679" t="n"/>
      <c r="B54" s="767" t="inlineStr">
        <is>
          <t>余剰汚泥流量計</t>
        </is>
      </c>
      <c r="C54" s="587" t="n"/>
      <c r="D54" s="773" t="inlineStr">
        <is>
          <t>外観の確認</t>
        </is>
      </c>
      <c r="E54" s="950" t="n"/>
      <c r="F54" s="445" t="n"/>
      <c r="G54" s="333" t="n"/>
      <c r="H54" s="332" t="n"/>
      <c r="I54" s="333" t="n"/>
      <c r="J54" s="333" t="n"/>
      <c r="K54" s="333" t="n"/>
      <c r="L54" s="9" t="n"/>
      <c r="M54" s="9" t="n"/>
      <c r="N54" s="9" t="n"/>
      <c r="O54" s="9" t="n"/>
      <c r="P54" s="9" t="n"/>
      <c r="Q54" s="9" t="n"/>
      <c r="R54" s="9" t="n"/>
    </row>
    <row r="55" ht="16.5" customHeight="1">
      <c r="A55" s="679" t="n"/>
      <c r="B55" s="613" t="n"/>
      <c r="C55" s="602" t="n"/>
      <c r="D55" s="771" t="inlineStr">
        <is>
          <t>指示状況の確認</t>
        </is>
      </c>
      <c r="E55" s="641" t="n"/>
      <c r="F55" s="459" t="n"/>
      <c r="G55" s="447" t="n"/>
      <c r="H55" s="448" t="n"/>
      <c r="I55" s="447" t="n"/>
      <c r="J55" s="447" t="n"/>
      <c r="K55" s="447" t="n"/>
      <c r="L55" s="9" t="n"/>
      <c r="M55" s="9" t="n"/>
      <c r="N55" s="9" t="n"/>
      <c r="O55" s="9" t="n"/>
      <c r="P55" s="9" t="n"/>
      <c r="Q55" s="9" t="n"/>
      <c r="R55" s="9" t="n"/>
    </row>
    <row r="56" ht="16.5" customHeight="1">
      <c r="A56" s="679" t="n"/>
      <c r="B56" s="613" t="n"/>
      <c r="C56" s="602" t="n"/>
      <c r="D56" s="766" t="inlineStr">
        <is>
          <t>No.１余剰汚泥ポンプ流量計読み</t>
        </is>
      </c>
      <c r="E56" s="577" t="n"/>
      <c r="F56" s="459" t="inlineStr">
        <is>
          <t>㎥/ｈ</t>
        </is>
      </c>
      <c r="G56" s="460" t="n"/>
      <c r="H56" s="461" t="n"/>
      <c r="I56" s="460" t="n"/>
      <c r="J56" s="460" t="n"/>
      <c r="K56" s="460" t="n"/>
      <c r="L56" s="9" t="n"/>
      <c r="M56" s="9" t="n"/>
      <c r="N56" s="9" t="n"/>
      <c r="O56" s="9" t="n"/>
      <c r="P56" s="9" t="n"/>
      <c r="Q56" s="9" t="n"/>
      <c r="R56" s="9" t="n"/>
    </row>
    <row r="57" ht="16.5" customHeight="1">
      <c r="A57" s="679" t="n"/>
      <c r="B57" s="590" t="n"/>
      <c r="C57" s="591" t="n"/>
      <c r="D57" s="770" t="inlineStr">
        <is>
          <t>No.２余剰汚泥ポンプ流量計読み</t>
        </is>
      </c>
      <c r="E57" s="666" t="n"/>
      <c r="F57" s="459" t="inlineStr">
        <is>
          <t>㎥/ｈ</t>
        </is>
      </c>
      <c r="G57" s="460" t="n"/>
      <c r="H57" s="461" t="n"/>
      <c r="I57" s="460" t="n"/>
      <c r="J57" s="460" t="n"/>
      <c r="K57" s="460" t="n"/>
      <c r="L57" s="9" t="n"/>
      <c r="M57" s="9" t="n"/>
      <c r="N57" s="9" t="n"/>
      <c r="O57" s="9" t="n"/>
      <c r="P57" s="9" t="n"/>
      <c r="Q57" s="9" t="n"/>
      <c r="R57" s="9" t="n"/>
    </row>
    <row r="58" ht="16.5" customHeight="1">
      <c r="A58" s="679" t="n"/>
      <c r="B58" s="763" t="inlineStr">
        <is>
          <t>放流流量計</t>
        </is>
      </c>
      <c r="C58" s="587" t="n"/>
      <c r="D58" s="758" t="inlineStr">
        <is>
          <t>外観の確認</t>
        </is>
      </c>
      <c r="E58" s="583" t="n"/>
      <c r="F58" s="445" t="n"/>
      <c r="G58" s="333" t="n"/>
      <c r="H58" s="332" t="n"/>
      <c r="I58" s="333" t="n"/>
      <c r="J58" s="333" t="n"/>
      <c r="K58" s="333" t="n"/>
      <c r="L58" s="9" t="n"/>
      <c r="M58" s="9" t="n"/>
      <c r="N58" s="9" t="n"/>
      <c r="O58" s="9" t="n"/>
      <c r="P58" s="9" t="n"/>
      <c r="Q58" s="9" t="n"/>
      <c r="R58" s="9" t="n"/>
    </row>
    <row r="59" ht="16.5" customHeight="1">
      <c r="A59" s="679" t="n"/>
      <c r="B59" s="613" t="n"/>
      <c r="C59" s="602" t="n"/>
      <c r="D59" s="757" t="inlineStr">
        <is>
          <t>指示状況の確認</t>
        </is>
      </c>
      <c r="E59" s="577" t="n"/>
      <c r="F59" s="459" t="n"/>
      <c r="G59" s="447" t="n"/>
      <c r="H59" s="448" t="n"/>
      <c r="I59" s="447" t="n"/>
      <c r="J59" s="447" t="n"/>
      <c r="K59" s="447" t="n"/>
      <c r="L59" s="9" t="n"/>
      <c r="M59" s="9" t="n"/>
      <c r="N59" s="9" t="n"/>
      <c r="O59" s="9" t="n"/>
      <c r="P59" s="9" t="n"/>
      <c r="Q59" s="9" t="n"/>
      <c r="R59" s="9" t="n"/>
    </row>
    <row r="60" ht="16.5" customHeight="1">
      <c r="A60" s="679" t="n"/>
      <c r="B60" s="613" t="n"/>
      <c r="C60" s="602" t="n"/>
      <c r="D60" s="757" t="inlineStr">
        <is>
          <t>流量計の読み</t>
        </is>
      </c>
      <c r="E60" s="577" t="n"/>
      <c r="F60" s="459" t="inlineStr">
        <is>
          <t>㎥/ｈ</t>
        </is>
      </c>
      <c r="G60" s="460" t="n"/>
      <c r="H60" s="461" t="n"/>
      <c r="I60" s="460" t="n"/>
      <c r="J60" s="460" t="n"/>
      <c r="K60" s="460" t="n"/>
      <c r="L60" s="9" t="n"/>
      <c r="M60" s="9" t="n"/>
      <c r="N60" s="9" t="n"/>
      <c r="O60" s="9" t="n"/>
      <c r="P60" s="9" t="n"/>
      <c r="Q60" s="9" t="n"/>
      <c r="R60" s="9" t="n"/>
    </row>
    <row r="61" ht="16.5" customHeight="1">
      <c r="A61" s="679" t="n"/>
      <c r="B61" s="590" t="n"/>
      <c r="C61" s="591" t="n"/>
      <c r="D61" s="772" t="inlineStr">
        <is>
          <t>流量計積算の読み</t>
        </is>
      </c>
      <c r="E61" s="608" t="n"/>
      <c r="F61" s="319" t="inlineStr">
        <is>
          <t>㎥</t>
        </is>
      </c>
      <c r="G61" s="953" t="n"/>
      <c r="H61" s="954" t="n"/>
      <c r="I61" s="953" t="n"/>
      <c r="J61" s="953" t="n"/>
      <c r="K61" s="953" t="n"/>
      <c r="L61" s="9" t="n"/>
      <c r="M61" s="9" t="n"/>
      <c r="N61" s="9" t="n"/>
      <c r="O61" s="9" t="n"/>
      <c r="P61" s="9" t="n"/>
      <c r="Q61" s="9" t="n"/>
      <c r="R61" s="9" t="n"/>
    </row>
    <row r="62" ht="16.5" customHeight="1">
      <c r="A62" s="679" t="n"/>
      <c r="B62" s="778" t="inlineStr">
        <is>
          <t>汚濁負荷量計</t>
        </is>
      </c>
      <c r="C62" s="587" t="n"/>
      <c r="D62" s="758" t="inlineStr">
        <is>
          <t>外観の確認</t>
        </is>
      </c>
      <c r="E62" s="583" t="n"/>
      <c r="F62" s="445" t="n"/>
      <c r="G62" s="333" t="n"/>
      <c r="H62" s="332" t="n"/>
      <c r="I62" s="333" t="n"/>
      <c r="J62" s="333" t="n"/>
      <c r="K62" s="333" t="n"/>
      <c r="L62" s="9" t="n"/>
      <c r="M62" s="9" t="n"/>
      <c r="N62" s="9" t="n"/>
      <c r="O62" s="9" t="n"/>
      <c r="P62" s="9" t="n"/>
      <c r="Q62" s="9" t="n"/>
      <c r="R62" s="9" t="n"/>
    </row>
    <row r="63" ht="16.5" customHeight="1">
      <c r="A63" s="679" t="n"/>
      <c r="B63" s="613" t="n"/>
      <c r="C63" s="602" t="n"/>
      <c r="D63" s="757" t="inlineStr">
        <is>
          <t>指示状況の確認</t>
        </is>
      </c>
      <c r="E63" s="577" t="n"/>
      <c r="F63" s="459" t="n"/>
      <c r="G63" s="447" t="n"/>
      <c r="H63" s="448" t="n"/>
      <c r="I63" s="447" t="n"/>
      <c r="J63" s="447" t="n"/>
      <c r="K63" s="447" t="n"/>
      <c r="L63" s="9" t="n"/>
      <c r="M63" s="9" t="n"/>
      <c r="N63" s="9" t="n"/>
      <c r="O63" s="9" t="n"/>
      <c r="P63" s="9" t="n"/>
      <c r="Q63" s="9" t="n"/>
      <c r="R63" s="9" t="n"/>
    </row>
    <row r="64" ht="16.5" customHeight="1">
      <c r="A64" s="679" t="n"/>
      <c r="B64" s="779" t="inlineStr">
        <is>
          <t>（放流水ＵＶ）</t>
        </is>
      </c>
      <c r="C64" s="602" t="n"/>
      <c r="D64" s="757" t="inlineStr">
        <is>
          <t>ＵＶ値</t>
        </is>
      </c>
      <c r="E64" s="577" t="n"/>
      <c r="F64" s="459" t="inlineStr">
        <is>
          <t>Abs</t>
        </is>
      </c>
      <c r="G64" s="466" t="n"/>
      <c r="H64" s="467" t="n"/>
      <c r="I64" s="466" t="n"/>
      <c r="J64" s="466" t="n"/>
      <c r="K64" s="466" t="n"/>
      <c r="L64" s="9" t="n"/>
      <c r="M64" s="9" t="n"/>
      <c r="N64" s="9" t="n"/>
      <c r="O64" s="9" t="n"/>
      <c r="P64" s="9" t="n"/>
      <c r="Q64" s="9" t="n"/>
      <c r="R64" s="9" t="n"/>
    </row>
    <row r="65" ht="16.5" customHeight="1">
      <c r="A65" s="626" t="n"/>
      <c r="B65" s="590" t="n"/>
      <c r="C65" s="591" t="n"/>
      <c r="D65" s="772" t="inlineStr">
        <is>
          <t>ＣＯＤ値</t>
        </is>
      </c>
      <c r="E65" s="608" t="n"/>
      <c r="F65" s="319" t="inlineStr">
        <is>
          <t>㎎/ℓ</t>
        </is>
      </c>
      <c r="G65" s="955" t="n"/>
      <c r="H65" s="956" t="n"/>
      <c r="I65" s="955" t="n"/>
      <c r="J65" s="955" t="n"/>
      <c r="K65" s="955" t="n"/>
      <c r="L65" s="9" t="n"/>
      <c r="M65" s="9" t="n"/>
      <c r="N65" s="9" t="n"/>
      <c r="O65" s="9" t="n"/>
      <c r="P65" s="9" t="n"/>
      <c r="Q65" s="9" t="n"/>
      <c r="R65" s="9" t="n"/>
    </row>
    <row r="66" ht="16.5" customHeight="1">
      <c r="A66" s="781" t="inlineStr">
        <is>
          <t>備　考</t>
        </is>
      </c>
      <c r="B66" s="470" t="n"/>
      <c r="C66" s="471" t="n"/>
      <c r="D66" s="471" t="n"/>
      <c r="E66" s="471" t="n"/>
      <c r="F66" s="471" t="n"/>
      <c r="G66" s="471" t="n"/>
      <c r="H66" s="472" t="n"/>
      <c r="I66" s="472" t="n"/>
      <c r="J66" s="471" t="n"/>
      <c r="K66" s="473" t="n"/>
      <c r="L66" s="9" t="n"/>
      <c r="M66" s="9" t="n"/>
      <c r="N66" s="9" t="n"/>
      <c r="O66" s="9" t="n"/>
      <c r="P66" s="9" t="n"/>
      <c r="Q66" s="9" t="n"/>
      <c r="R66" s="9" t="n"/>
    </row>
    <row r="67" ht="14.25" customHeight="1">
      <c r="A67" s="679" t="n"/>
      <c r="B67" s="474" t="n"/>
      <c r="C67" s="475" t="n"/>
      <c r="D67" s="475" t="n"/>
      <c r="E67" s="475" t="n"/>
      <c r="F67" s="475" t="n"/>
      <c r="G67" s="476" t="n"/>
      <c r="H67" s="476" t="n"/>
      <c r="I67" s="476" t="n"/>
      <c r="J67" s="442" t="n"/>
      <c r="K67" s="477" t="n"/>
      <c r="L67" s="9" t="n"/>
      <c r="M67" s="9" t="n"/>
      <c r="N67" s="9" t="n"/>
      <c r="O67" s="9" t="n"/>
      <c r="P67" s="9" t="n"/>
      <c r="Q67" s="9" t="n"/>
      <c r="R67" s="9" t="n"/>
    </row>
    <row r="68" ht="30.75" customHeight="1">
      <c r="A68" s="626" t="n"/>
      <c r="B68" s="437" t="n"/>
      <c r="C68" s="438" t="n"/>
      <c r="D68" s="438" t="n"/>
      <c r="E68" s="438" t="n"/>
      <c r="F68" s="478" t="n"/>
      <c r="G68" s="479" t="n"/>
      <c r="H68" s="479" t="n"/>
      <c r="I68" s="479" t="n"/>
      <c r="J68" s="479" t="n"/>
      <c r="K68" s="480" t="n"/>
      <c r="L68" s="9" t="n"/>
      <c r="M68" s="9" t="n"/>
      <c r="N68" s="9" t="n"/>
      <c r="O68" s="9" t="n"/>
      <c r="P68" s="9" t="n"/>
      <c r="Q68" s="9" t="n"/>
      <c r="R68" s="9" t="n"/>
    </row>
    <row r="69" ht="21" customHeight="1">
      <c r="A69" s="481" t="inlineStr">
        <is>
          <t xml:space="preserve">　電気設備日常点検（3/３）</t>
        </is>
      </c>
      <c r="B69" s="437" t="n"/>
      <c r="C69" s="438" t="n"/>
      <c r="D69" s="438" t="n"/>
      <c r="E69" s="438" t="n"/>
      <c r="F69" s="478" t="n"/>
      <c r="G69" s="478" t="n"/>
      <c r="H69" s="478" t="n"/>
      <c r="I69" s="478" t="n"/>
      <c r="J69" s="128" t="n"/>
      <c r="K69" s="478" t="n"/>
      <c r="L69" s="9" t="n"/>
      <c r="M69" s="9" t="n"/>
      <c r="N69" s="9" t="n"/>
      <c r="O69" s="9" t="n"/>
      <c r="P69" s="9" t="n"/>
      <c r="Q69" s="9" t="n"/>
      <c r="R69" s="9" t="n"/>
    </row>
    <row r="70" ht="16.5" customHeight="1">
      <c r="A70" s="768" t="n"/>
      <c r="B70" s="765" t="inlineStr">
        <is>
          <t>機器名</t>
        </is>
      </c>
      <c r="C70" s="587" t="n"/>
      <c r="D70" s="765" t="inlineStr">
        <is>
          <t>点　　検　　者　　氏　　名</t>
        </is>
      </c>
      <c r="E70" s="574" t="n"/>
      <c r="F70" s="580" t="n"/>
      <c r="G70" s="309" t="n"/>
      <c r="H70" s="308" t="n"/>
      <c r="I70" s="309" t="n"/>
      <c r="J70" s="309" t="n"/>
      <c r="K70" s="309" t="n"/>
      <c r="L70" s="9" t="n"/>
      <c r="M70" s="9" t="n"/>
      <c r="N70" s="9" t="n"/>
      <c r="O70" s="9" t="n"/>
      <c r="P70" s="9" t="n"/>
      <c r="Q70" s="9" t="n"/>
      <c r="R70" s="9" t="n"/>
    </row>
    <row r="71" ht="16.5" customHeight="1">
      <c r="A71" s="626" t="n"/>
      <c r="B71" s="590" t="n"/>
      <c r="C71" s="591" t="n"/>
      <c r="D71" s="765" t="inlineStr">
        <is>
          <t>点　　　検　　　内　　　容</t>
        </is>
      </c>
      <c r="E71" s="574" t="n"/>
      <c r="F71" s="580" t="n"/>
      <c r="G71" s="948" t="n"/>
      <c r="H71" s="949" t="n"/>
      <c r="I71" s="948" t="n"/>
      <c r="J71" s="948" t="n"/>
      <c r="K71" s="948" t="n"/>
      <c r="L71" s="9" t="n"/>
      <c r="M71" s="9" t="n"/>
      <c r="N71" s="9" t="n"/>
      <c r="O71" s="9" t="n"/>
      <c r="P71" s="9" t="n"/>
      <c r="Q71" s="9" t="n"/>
      <c r="R71" s="9" t="n"/>
    </row>
    <row r="72" ht="16.5" customHeight="1">
      <c r="A72" s="759" t="inlineStr">
        <is>
          <t>計装設備</t>
        </is>
      </c>
      <c r="B72" s="763" t="inlineStr">
        <is>
          <t>全窒素・全燐計</t>
        </is>
      </c>
      <c r="C72" s="587" t="n"/>
      <c r="D72" s="758" t="inlineStr">
        <is>
          <t>外観の確認</t>
        </is>
      </c>
      <c r="E72" s="583" t="n"/>
      <c r="F72" s="445" t="n"/>
      <c r="G72" s="333" t="n"/>
      <c r="H72" s="332" t="n"/>
      <c r="I72" s="333" t="n"/>
      <c r="J72" s="333" t="n"/>
      <c r="K72" s="333" t="n"/>
      <c r="L72" s="9" t="n"/>
      <c r="M72" s="9" t="n"/>
      <c r="N72" s="9" t="n"/>
      <c r="O72" s="9" t="n"/>
      <c r="P72" s="9" t="n"/>
      <c r="Q72" s="9" t="n"/>
      <c r="R72" s="9" t="n"/>
    </row>
    <row r="73" ht="16.5" customHeight="1">
      <c r="A73" s="679" t="n"/>
      <c r="B73" s="613" t="n"/>
      <c r="C73" s="602" t="n"/>
      <c r="D73" s="757" t="inlineStr">
        <is>
          <t>指示状況の確認</t>
        </is>
      </c>
      <c r="E73" s="577" t="n"/>
      <c r="F73" s="459" t="n"/>
      <c r="G73" s="447" t="n"/>
      <c r="H73" s="448" t="n"/>
      <c r="I73" s="447" t="n"/>
      <c r="J73" s="447" t="n"/>
      <c r="K73" s="447" t="n"/>
      <c r="L73" s="9" t="n"/>
      <c r="M73" s="9" t="n"/>
      <c r="N73" s="9" t="n"/>
      <c r="O73" s="9" t="n"/>
      <c r="P73" s="9" t="n"/>
      <c r="Q73" s="9" t="n"/>
      <c r="R73" s="9" t="n"/>
    </row>
    <row r="74" ht="16.5" customHeight="1">
      <c r="A74" s="679" t="n"/>
      <c r="B74" s="613" t="n"/>
      <c r="C74" s="602" t="n"/>
      <c r="D74" s="757" t="inlineStr">
        <is>
          <t>計器読み（全窒素）</t>
        </is>
      </c>
      <c r="E74" s="577" t="n"/>
      <c r="F74" s="459" t="inlineStr">
        <is>
          <t>㎎/ℓ</t>
        </is>
      </c>
      <c r="G74" s="466" t="n"/>
      <c r="H74" s="467" t="n"/>
      <c r="I74" s="466" t="n"/>
      <c r="J74" s="466" t="n"/>
      <c r="K74" s="466" t="n"/>
      <c r="L74" s="9" t="n"/>
      <c r="M74" s="9" t="n"/>
      <c r="N74" s="9" t="n"/>
      <c r="O74" s="9" t="n"/>
      <c r="P74" s="9" t="n"/>
      <c r="Q74" s="9" t="n"/>
      <c r="R74" s="9" t="n"/>
    </row>
    <row r="75" ht="16.5" customHeight="1">
      <c r="A75" s="679" t="n"/>
      <c r="B75" s="590" t="n"/>
      <c r="C75" s="591" t="n"/>
      <c r="D75" s="772" t="inlineStr">
        <is>
          <t>計器読み（全りん）</t>
        </is>
      </c>
      <c r="E75" s="608" t="n"/>
      <c r="F75" s="449" t="inlineStr">
        <is>
          <t>㎎/ℓ</t>
        </is>
      </c>
      <c r="G75" s="450" t="n"/>
      <c r="H75" s="451" t="n"/>
      <c r="I75" s="450" t="n"/>
      <c r="J75" s="450" t="n"/>
      <c r="K75" s="450" t="n"/>
      <c r="L75" s="9" t="n"/>
      <c r="M75" s="9" t="n"/>
      <c r="N75" s="9" t="n"/>
      <c r="O75" s="9" t="n"/>
      <c r="P75" s="9" t="n"/>
      <c r="Q75" s="9" t="n"/>
      <c r="R75" s="9" t="n"/>
    </row>
    <row r="76" ht="16.5" customHeight="1">
      <c r="A76" s="679" t="n"/>
      <c r="B76" s="767" t="inlineStr">
        <is>
          <t>圧力式液位計</t>
        </is>
      </c>
      <c r="C76" s="587" t="n"/>
      <c r="D76" s="758" t="inlineStr">
        <is>
          <t>外観の確認</t>
        </is>
      </c>
      <c r="E76" s="482" t="n"/>
      <c r="F76" s="445" t="n"/>
      <c r="G76" s="333" t="n"/>
      <c r="H76" s="332" t="n"/>
      <c r="I76" s="333" t="n"/>
      <c r="J76" s="333" t="n"/>
      <c r="K76" s="333" t="n"/>
      <c r="L76" s="9" t="n"/>
      <c r="M76" s="9" t="n"/>
      <c r="N76" s="9" t="n"/>
      <c r="O76" s="9" t="n"/>
      <c r="P76" s="9" t="n"/>
      <c r="Q76" s="9" t="n"/>
      <c r="R76" s="9" t="n"/>
    </row>
    <row r="77" ht="16.5" customHeight="1">
      <c r="A77" s="679" t="n"/>
      <c r="B77" s="613" t="n"/>
      <c r="C77" s="602" t="n"/>
      <c r="D77" s="757" t="inlineStr">
        <is>
          <t>指示状況の確認</t>
        </is>
      </c>
      <c r="E77" s="483" t="n"/>
      <c r="F77" s="459" t="n"/>
      <c r="G77" s="447" t="n"/>
      <c r="H77" s="448" t="n"/>
      <c r="I77" s="447" t="n"/>
      <c r="J77" s="447" t="n"/>
      <c r="K77" s="447" t="n"/>
      <c r="L77" s="9" t="n"/>
      <c r="M77" s="9" t="n"/>
      <c r="N77" s="9" t="n"/>
      <c r="O77" s="9" t="n"/>
      <c r="P77" s="9" t="n"/>
      <c r="Q77" s="9" t="n"/>
      <c r="R77" s="9" t="n"/>
    </row>
    <row r="78" ht="16.5" customHeight="1">
      <c r="A78" s="626" t="n"/>
      <c r="B78" s="590" t="n"/>
      <c r="C78" s="591" t="n"/>
      <c r="D78" s="772" t="inlineStr">
        <is>
          <t>機器指示地の記録</t>
        </is>
      </c>
      <c r="E78" s="484" t="n"/>
      <c r="F78" s="449" t="inlineStr">
        <is>
          <t>ｍ</t>
        </is>
      </c>
      <c r="G78" s="946" t="n"/>
      <c r="H78" s="947" t="n"/>
      <c r="I78" s="946" t="n"/>
      <c r="J78" s="946" t="n"/>
      <c r="K78" s="946" t="n"/>
      <c r="L78" s="9" t="n"/>
      <c r="M78" s="9" t="n"/>
      <c r="N78" s="9" t="n"/>
      <c r="O78" s="9" t="n"/>
      <c r="P78" s="9" t="n"/>
      <c r="Q78" s="9" t="n"/>
      <c r="R78" s="9" t="n"/>
    </row>
    <row r="79" ht="16.5" customHeight="1">
      <c r="A79" s="780" t="inlineStr">
        <is>
          <t>発電機設備</t>
        </is>
      </c>
      <c r="B79" s="776" t="inlineStr">
        <is>
          <t>発電機盤</t>
        </is>
      </c>
      <c r="C79" s="580" t="n"/>
      <c r="D79" s="769" t="inlineStr">
        <is>
          <t>外観の確認</t>
        </is>
      </c>
      <c r="E79" s="574" t="n"/>
      <c r="F79" s="307" t="n"/>
      <c r="G79" s="309" t="n"/>
      <c r="H79" s="308" t="n"/>
      <c r="I79" s="309" t="n"/>
      <c r="J79" s="309" t="n"/>
      <c r="K79" s="309" t="n"/>
      <c r="L79" s="9" t="n"/>
      <c r="M79" s="9" t="n"/>
      <c r="N79" s="9" t="n"/>
      <c r="O79" s="9" t="n"/>
      <c r="P79" s="9" t="n"/>
      <c r="Q79" s="9" t="n"/>
      <c r="R79" s="9" t="n"/>
    </row>
    <row r="80" ht="16.5" customHeight="1">
      <c r="A80" s="679" t="n"/>
      <c r="B80" s="776" t="inlineStr">
        <is>
          <t>エンジン</t>
        </is>
      </c>
      <c r="C80" s="580" t="n"/>
      <c r="D80" s="769" t="inlineStr">
        <is>
          <t>外観の確認</t>
        </is>
      </c>
      <c r="E80" s="574" t="n"/>
      <c r="F80" s="307" t="n"/>
      <c r="G80" s="333" t="n"/>
      <c r="H80" s="332" t="n"/>
      <c r="I80" s="333" t="n"/>
      <c r="J80" s="333" t="n"/>
      <c r="K80" s="333" t="n"/>
      <c r="L80" s="9" t="n"/>
      <c r="M80" s="9" t="n"/>
      <c r="N80" s="9" t="n"/>
      <c r="O80" s="9" t="n"/>
      <c r="P80" s="9" t="n"/>
      <c r="Q80" s="9" t="n"/>
      <c r="R80" s="9" t="n"/>
    </row>
    <row r="81" ht="16.5" customHeight="1">
      <c r="A81" s="679" t="n"/>
      <c r="B81" s="776" t="inlineStr">
        <is>
          <t>燃料タンク</t>
        </is>
      </c>
      <c r="C81" s="587" t="n"/>
      <c r="D81" s="758" t="inlineStr">
        <is>
          <t>外観の確認</t>
        </is>
      </c>
      <c r="E81" s="583" t="n"/>
      <c r="F81" s="445" t="n"/>
      <c r="G81" s="333" t="n"/>
      <c r="H81" s="332" t="n"/>
      <c r="I81" s="333" t="n"/>
      <c r="J81" s="333" t="n"/>
      <c r="K81" s="333" t="n"/>
      <c r="L81" s="9" t="n"/>
      <c r="M81" s="9" t="n"/>
      <c r="N81" s="9" t="n"/>
      <c r="O81" s="9" t="n"/>
      <c r="P81" s="9" t="n"/>
      <c r="Q81" s="9" t="n"/>
      <c r="R81" s="9" t="n"/>
    </row>
    <row r="82" ht="16.5" customHeight="1">
      <c r="A82" s="679" t="n"/>
      <c r="B82" s="598" t="n"/>
      <c r="C82" s="591" t="n"/>
      <c r="D82" s="772" t="inlineStr">
        <is>
          <t>残量の値</t>
        </is>
      </c>
      <c r="E82" s="608" t="n"/>
      <c r="F82" s="449" t="inlineStr">
        <is>
          <t>ℓ</t>
        </is>
      </c>
      <c r="G82" s="485" t="n"/>
      <c r="H82" s="486" t="n"/>
      <c r="I82" s="485" t="n"/>
      <c r="J82" s="485" t="n"/>
      <c r="K82" s="485" t="n"/>
      <c r="L82" s="9" t="n"/>
      <c r="M82" s="9" t="n"/>
      <c r="N82" s="9" t="n"/>
      <c r="O82" s="9" t="n"/>
      <c r="P82" s="9" t="n"/>
      <c r="Q82" s="9" t="n"/>
      <c r="R82" s="9" t="n"/>
    </row>
    <row r="83" ht="16.5" customHeight="1">
      <c r="A83" s="759" t="inlineStr">
        <is>
          <t>他</t>
        </is>
      </c>
      <c r="B83" s="763" t="inlineStr">
        <is>
          <t>通報装置</t>
        </is>
      </c>
      <c r="C83" s="580" t="n"/>
      <c r="D83" s="769" t="inlineStr">
        <is>
          <t>通報状態の確認</t>
        </is>
      </c>
      <c r="E83" s="574" t="n"/>
      <c r="F83" s="307" t="n"/>
      <c r="G83" s="309" t="n"/>
      <c r="H83" s="308" t="n"/>
      <c r="I83" s="309" t="n"/>
      <c r="J83" s="309" t="n"/>
      <c r="K83" s="309" t="n"/>
      <c r="L83" s="9" t="n"/>
      <c r="M83" s="9" t="n"/>
      <c r="N83" s="9" t="n"/>
      <c r="O83" s="9" t="n"/>
      <c r="P83" s="9" t="n"/>
      <c r="Q83" s="9" t="n"/>
      <c r="R83" s="9" t="n"/>
    </row>
    <row r="84" ht="16.5" customHeight="1">
      <c r="A84" s="487" t="n"/>
      <c r="B84" s="747" t="inlineStr">
        <is>
          <t>○：良　　△：要注意　　×要修理</t>
        </is>
      </c>
      <c r="C84" s="747" t="n"/>
      <c r="D84" s="747" t="n"/>
      <c r="E84" s="747" t="n"/>
      <c r="F84" s="488" t="n"/>
      <c r="G84" s="489" t="n"/>
      <c r="H84" s="489" t="n"/>
      <c r="I84" s="489" t="n"/>
      <c r="J84" s="490" t="n"/>
      <c r="K84" s="491" t="n"/>
      <c r="L84" s="9" t="n"/>
      <c r="M84" s="9" t="n"/>
      <c r="N84" s="9" t="n"/>
      <c r="O84" s="9" t="n"/>
      <c r="P84" s="9" t="n"/>
      <c r="Q84" s="9" t="n"/>
      <c r="R84" s="9" t="n"/>
    </row>
    <row r="85" ht="16.5" customHeight="1">
      <c r="A85" s="759" t="inlineStr">
        <is>
          <t>備　　　　　考</t>
        </is>
      </c>
      <c r="B85" s="470" t="n"/>
      <c r="C85" s="471" t="n"/>
      <c r="D85" s="471" t="n"/>
      <c r="E85" s="471" t="n"/>
      <c r="F85" s="471" t="n"/>
      <c r="G85" s="492" t="n"/>
      <c r="H85" s="492" t="n"/>
      <c r="I85" s="492" t="n"/>
      <c r="J85" s="476" t="n"/>
      <c r="K85" s="493" t="n"/>
      <c r="L85" s="9" t="n"/>
      <c r="M85" s="9" t="n"/>
      <c r="N85" s="9" t="n"/>
      <c r="O85" s="9" t="n"/>
      <c r="P85" s="9" t="n"/>
      <c r="Q85" s="9" t="n"/>
      <c r="R85" s="9" t="n"/>
    </row>
    <row r="86" ht="16.5" customHeight="1">
      <c r="A86" s="679" t="n"/>
      <c r="B86" s="474" t="n"/>
      <c r="C86" s="475" t="n"/>
      <c r="D86" s="475" t="n"/>
      <c r="E86" s="475" t="n"/>
      <c r="F86" s="475" t="n"/>
      <c r="G86" s="476" t="n"/>
      <c r="H86" s="476" t="n"/>
      <c r="I86" s="476" t="n"/>
      <c r="J86" s="476" t="n"/>
      <c r="K86" s="477" t="n"/>
      <c r="L86" s="9" t="n"/>
      <c r="M86" s="9" t="n"/>
      <c r="N86" s="9" t="n"/>
      <c r="O86" s="9" t="n"/>
      <c r="P86" s="9" t="n"/>
      <c r="Q86" s="9" t="n"/>
      <c r="R86" s="9" t="n"/>
    </row>
    <row r="87" ht="16.5" customHeight="1">
      <c r="A87" s="679" t="n"/>
      <c r="B87" s="474" t="n"/>
      <c r="C87" s="475" t="n"/>
      <c r="D87" s="475" t="n"/>
      <c r="E87" s="475" t="n"/>
      <c r="F87" s="475" t="n"/>
      <c r="G87" s="476" t="n"/>
      <c r="H87" s="476" t="n"/>
      <c r="I87" s="476" t="n"/>
      <c r="J87" s="476" t="n"/>
      <c r="K87" s="477" t="n"/>
      <c r="L87" s="9" t="n"/>
      <c r="M87" s="9" t="n"/>
      <c r="N87" s="9" t="n"/>
      <c r="O87" s="9" t="n"/>
      <c r="P87" s="9" t="n"/>
      <c r="Q87" s="9" t="n"/>
      <c r="R87" s="9" t="n"/>
    </row>
    <row r="88" ht="16.5" customHeight="1">
      <c r="A88" s="679" t="n"/>
      <c r="B88" s="474" t="n"/>
      <c r="C88" s="475" t="n"/>
      <c r="D88" s="475" t="n"/>
      <c r="E88" s="475" t="n"/>
      <c r="F88" s="475" t="n"/>
      <c r="G88" s="476" t="n"/>
      <c r="H88" s="476" t="n"/>
      <c r="I88" s="476" t="n"/>
      <c r="J88" s="476" t="n"/>
      <c r="K88" s="477" t="n"/>
      <c r="L88" s="9" t="n"/>
      <c r="M88" s="9" t="n"/>
      <c r="N88" s="9" t="n"/>
      <c r="O88" s="9" t="n"/>
      <c r="P88" s="9" t="n"/>
      <c r="Q88" s="9" t="n"/>
      <c r="R88" s="9" t="n"/>
    </row>
    <row r="89" ht="16.5" customHeight="1">
      <c r="A89" s="679" t="n"/>
      <c r="B89" s="474" t="n"/>
      <c r="C89" s="475" t="n"/>
      <c r="D89" s="475" t="n"/>
      <c r="E89" s="475" t="n"/>
      <c r="F89" s="475" t="n"/>
      <c r="G89" s="476" t="n"/>
      <c r="H89" s="476" t="n"/>
      <c r="I89" s="476" t="n"/>
      <c r="J89" s="476" t="n"/>
      <c r="K89" s="477" t="n"/>
      <c r="L89" s="9" t="n"/>
      <c r="M89" s="9" t="n"/>
      <c r="N89" s="9" t="n"/>
      <c r="O89" s="9" t="n"/>
      <c r="P89" s="9" t="n"/>
      <c r="Q89" s="9" t="n"/>
      <c r="R89" s="9" t="n"/>
    </row>
    <row r="90" ht="16.5" customHeight="1">
      <c r="A90" s="679" t="n"/>
      <c r="B90" s="474" t="n"/>
      <c r="C90" s="475" t="n"/>
      <c r="D90" s="475" t="n"/>
      <c r="E90" s="475" t="n"/>
      <c r="F90" s="475" t="n"/>
      <c r="G90" s="476" t="n"/>
      <c r="H90" s="476" t="n"/>
      <c r="I90" s="476" t="n"/>
      <c r="J90" s="476" t="n"/>
      <c r="K90" s="477" t="n"/>
      <c r="L90" s="9" t="n"/>
      <c r="M90" s="9" t="n"/>
      <c r="N90" s="9" t="n"/>
      <c r="O90" s="9" t="n"/>
      <c r="P90" s="9" t="n"/>
      <c r="Q90" s="9" t="n"/>
      <c r="R90" s="9" t="n"/>
    </row>
    <row r="91" ht="16.5" customHeight="1">
      <c r="A91" s="679" t="n"/>
      <c r="B91" s="474" t="n"/>
      <c r="C91" s="475" t="n"/>
      <c r="D91" s="475" t="n"/>
      <c r="E91" s="475" t="n"/>
      <c r="F91" s="475" t="n"/>
      <c r="G91" s="476" t="n"/>
      <c r="H91" s="476" t="n"/>
      <c r="I91" s="476" t="n"/>
      <c r="J91" s="476" t="n"/>
      <c r="K91" s="477" t="n"/>
      <c r="L91" s="9" t="n"/>
      <c r="M91" s="9" t="n"/>
      <c r="N91" s="9" t="n"/>
      <c r="O91" s="9" t="n"/>
      <c r="P91" s="9" t="n"/>
      <c r="Q91" s="9" t="n"/>
      <c r="R91" s="9" t="n"/>
    </row>
    <row r="92" ht="16.5" customHeight="1">
      <c r="A92" s="679" t="n"/>
      <c r="B92" s="474" t="n"/>
      <c r="C92" s="475" t="n"/>
      <c r="D92" s="475" t="n"/>
      <c r="E92" s="475" t="n"/>
      <c r="F92" s="475" t="n"/>
      <c r="G92" s="476" t="n"/>
      <c r="H92" s="476" t="n"/>
      <c r="I92" s="476" t="n"/>
      <c r="J92" s="476" t="n"/>
      <c r="K92" s="477" t="n"/>
      <c r="L92" s="9" t="n"/>
      <c r="M92" s="9" t="n"/>
      <c r="N92" s="9" t="n"/>
      <c r="O92" s="9" t="n"/>
      <c r="P92" s="9" t="n"/>
      <c r="Q92" s="9" t="n"/>
      <c r="R92" s="9" t="n"/>
    </row>
    <row r="93" ht="16.5" customHeight="1">
      <c r="A93" s="679" t="n"/>
      <c r="B93" s="474" t="n"/>
      <c r="C93" s="475" t="n"/>
      <c r="D93" s="475" t="n"/>
      <c r="E93" s="475" t="n"/>
      <c r="F93" s="475" t="n"/>
      <c r="G93" s="476" t="n"/>
      <c r="H93" s="476" t="n"/>
      <c r="I93" s="476" t="n"/>
      <c r="J93" s="476" t="n"/>
      <c r="K93" s="477" t="n"/>
      <c r="L93" s="9" t="n"/>
      <c r="M93" s="9" t="n"/>
      <c r="N93" s="9" t="n"/>
      <c r="O93" s="9" t="n"/>
      <c r="P93" s="9" t="n"/>
      <c r="Q93" s="9" t="n"/>
      <c r="R93" s="9" t="n"/>
    </row>
    <row r="94" ht="16.5" customHeight="1">
      <c r="A94" s="679" t="n"/>
      <c r="B94" s="474" t="n"/>
      <c r="C94" s="475" t="n"/>
      <c r="D94" s="475" t="n"/>
      <c r="E94" s="475" t="n"/>
      <c r="F94" s="475" t="n"/>
      <c r="G94" s="476" t="n"/>
      <c r="H94" s="476" t="n"/>
      <c r="I94" s="476" t="n"/>
      <c r="J94" s="476" t="n"/>
      <c r="K94" s="477" t="n"/>
      <c r="L94" s="9" t="n"/>
      <c r="M94" s="9" t="n"/>
      <c r="N94" s="9" t="n"/>
      <c r="O94" s="9" t="n"/>
      <c r="P94" s="9" t="n"/>
      <c r="Q94" s="9" t="n"/>
      <c r="R94" s="9" t="n"/>
    </row>
    <row r="95" ht="16.5" customHeight="1">
      <c r="A95" s="679" t="n"/>
      <c r="B95" s="474" t="n"/>
      <c r="C95" s="475" t="n"/>
      <c r="D95" s="475" t="n"/>
      <c r="E95" s="475" t="n"/>
      <c r="F95" s="475" t="n"/>
      <c r="G95" s="476" t="n"/>
      <c r="H95" s="476" t="n"/>
      <c r="I95" s="476" t="n"/>
      <c r="J95" s="476" t="n"/>
      <c r="K95" s="477" t="n"/>
      <c r="L95" s="9" t="n"/>
      <c r="M95" s="9" t="n"/>
      <c r="N95" s="9" t="n"/>
      <c r="O95" s="9" t="n"/>
      <c r="P95" s="9" t="n"/>
      <c r="Q95" s="9" t="n"/>
      <c r="R95" s="9" t="n"/>
    </row>
    <row r="96" ht="16.5" customHeight="1">
      <c r="A96" s="679" t="n"/>
      <c r="B96" s="474" t="n"/>
      <c r="C96" s="475" t="n"/>
      <c r="D96" s="475" t="n"/>
      <c r="E96" s="475" t="n"/>
      <c r="F96" s="475" t="n"/>
      <c r="G96" s="476" t="n"/>
      <c r="H96" s="476" t="n"/>
      <c r="I96" s="476" t="n"/>
      <c r="J96" s="476" t="n"/>
      <c r="K96" s="477" t="n"/>
      <c r="L96" s="9" t="n"/>
      <c r="M96" s="9" t="n"/>
      <c r="N96" s="9" t="n"/>
      <c r="O96" s="9" t="n"/>
      <c r="P96" s="9" t="n"/>
      <c r="Q96" s="9" t="n"/>
      <c r="R96" s="9" t="n"/>
    </row>
    <row r="97" ht="16.5" customHeight="1">
      <c r="A97" s="679" t="n"/>
      <c r="B97" s="474" t="n"/>
      <c r="C97" s="475" t="n"/>
      <c r="D97" s="475" t="n"/>
      <c r="E97" s="475" t="n"/>
      <c r="F97" s="475" t="n"/>
      <c r="G97" s="476" t="n"/>
      <c r="H97" s="476" t="n"/>
      <c r="I97" s="476" t="n"/>
      <c r="J97" s="476" t="n"/>
      <c r="K97" s="477" t="n"/>
      <c r="L97" s="9" t="n"/>
      <c r="M97" s="9" t="n"/>
      <c r="N97" s="9" t="n"/>
      <c r="O97" s="9" t="n"/>
      <c r="P97" s="9" t="n"/>
      <c r="Q97" s="9" t="n"/>
      <c r="R97" s="9" t="n"/>
    </row>
    <row r="98" ht="16.5" customHeight="1">
      <c r="A98" s="679" t="n"/>
      <c r="B98" s="474" t="n"/>
      <c r="C98" s="475" t="n"/>
      <c r="D98" s="475" t="n"/>
      <c r="E98" s="475" t="n"/>
      <c r="F98" s="475" t="n"/>
      <c r="G98" s="476" t="n"/>
      <c r="H98" s="476" t="n"/>
      <c r="I98" s="476" t="n"/>
      <c r="J98" s="476" t="n"/>
      <c r="K98" s="477" t="n"/>
      <c r="L98" s="9" t="n"/>
      <c r="M98" s="9" t="n"/>
      <c r="N98" s="9" t="n"/>
      <c r="O98" s="9" t="n"/>
      <c r="P98" s="9" t="n"/>
      <c r="Q98" s="9" t="n"/>
      <c r="R98" s="9" t="n"/>
    </row>
    <row r="99" ht="16.5" customHeight="1">
      <c r="A99" s="679" t="n"/>
      <c r="B99" s="474" t="n"/>
      <c r="C99" s="475" t="n"/>
      <c r="D99" s="475" t="n"/>
      <c r="E99" s="475" t="n"/>
      <c r="F99" s="475" t="n"/>
      <c r="G99" s="476" t="n"/>
      <c r="H99" s="476" t="n"/>
      <c r="I99" s="476" t="n"/>
      <c r="J99" s="476" t="n"/>
      <c r="K99" s="477" t="n"/>
      <c r="L99" s="9" t="n"/>
      <c r="M99" s="9" t="n"/>
      <c r="N99" s="9" t="n"/>
      <c r="O99" s="9" t="n"/>
      <c r="P99" s="9" t="n"/>
      <c r="Q99" s="9" t="n"/>
      <c r="R99" s="9" t="n"/>
    </row>
    <row r="100" ht="16.5" customHeight="1">
      <c r="A100" s="679" t="n"/>
      <c r="B100" s="474" t="n"/>
      <c r="C100" s="475" t="n"/>
      <c r="D100" s="475" t="n"/>
      <c r="E100" s="475" t="n"/>
      <c r="F100" s="475" t="n"/>
      <c r="G100" s="476" t="n"/>
      <c r="H100" s="476" t="n"/>
      <c r="I100" s="476" t="n"/>
      <c r="J100" s="476" t="n"/>
      <c r="K100" s="477" t="n"/>
      <c r="L100" s="9" t="n"/>
      <c r="M100" s="9" t="n"/>
      <c r="N100" s="9" t="n"/>
      <c r="O100" s="9" t="n"/>
      <c r="P100" s="9" t="n"/>
      <c r="Q100" s="9" t="n"/>
      <c r="R100" s="9" t="n"/>
    </row>
    <row r="101" ht="16.5" customHeight="1">
      <c r="A101" s="679" t="n"/>
      <c r="B101" s="474" t="n"/>
      <c r="C101" s="475" t="n"/>
      <c r="D101" s="475" t="n"/>
      <c r="E101" s="475" t="n"/>
      <c r="F101" s="475" t="n"/>
      <c r="G101" s="476" t="n"/>
      <c r="H101" s="476" t="n"/>
      <c r="I101" s="476" t="n"/>
      <c r="J101" s="476" t="n"/>
      <c r="K101" s="477" t="n"/>
      <c r="L101" s="9" t="n"/>
      <c r="M101" s="9" t="n"/>
      <c r="N101" s="9" t="n"/>
      <c r="O101" s="9" t="n"/>
      <c r="P101" s="9" t="n"/>
      <c r="Q101" s="9" t="n"/>
      <c r="R101" s="9" t="n"/>
    </row>
    <row r="102" ht="16.5" customHeight="1">
      <c r="A102" s="679" t="n"/>
      <c r="B102" s="474" t="n"/>
      <c r="C102" s="475" t="n"/>
      <c r="D102" s="475" t="n"/>
      <c r="E102" s="475" t="n"/>
      <c r="F102" s="475" t="n"/>
      <c r="G102" s="476" t="n"/>
      <c r="H102" s="476" t="n"/>
      <c r="I102" s="476" t="n"/>
      <c r="J102" s="476" t="n"/>
      <c r="K102" s="477" t="n"/>
      <c r="L102" s="9" t="n"/>
      <c r="M102" s="9" t="n"/>
      <c r="N102" s="9" t="n"/>
      <c r="O102" s="9" t="n"/>
      <c r="P102" s="9" t="n"/>
      <c r="Q102" s="9" t="n"/>
      <c r="R102" s="9" t="n"/>
    </row>
    <row r="103" ht="14.25" customHeight="1">
      <c r="A103" s="626" t="n"/>
      <c r="B103" s="494" t="n"/>
      <c r="C103" s="495" t="n"/>
      <c r="D103" s="495" t="n"/>
      <c r="E103" s="495" t="n"/>
      <c r="F103" s="495" t="n"/>
      <c r="G103" s="496" t="n"/>
      <c r="H103" s="496" t="n"/>
      <c r="I103" s="496" t="n"/>
      <c r="J103" s="479" t="n"/>
      <c r="K103" s="497" t="n"/>
      <c r="L103" s="9" t="n"/>
      <c r="M103" s="9" t="n"/>
      <c r="N103" s="9" t="n"/>
      <c r="O103" s="9" t="n"/>
      <c r="P103" s="9" t="n"/>
      <c r="Q103" s="9" t="n"/>
      <c r="R103" s="9" t="n"/>
    </row>
    <row r="104" ht="21" customHeight="1">
      <c r="A104" s="299" t="inlineStr">
        <is>
          <t xml:space="preserve">　電気設備日常点検（１/３）</t>
        </is>
      </c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355">
        <f>K1</f>
        <v/>
      </c>
      <c r="L104" s="9" t="n"/>
      <c r="M104" s="9" t="n"/>
      <c r="N104" s="9" t="n"/>
      <c r="O104" s="9" t="n"/>
      <c r="P104" s="9" t="n"/>
      <c r="Q104" s="9" t="n"/>
      <c r="R104" s="9" t="n"/>
    </row>
    <row r="105" ht="13.5" customHeight="1">
      <c r="A105" s="128" t="n"/>
      <c r="B105" s="128" t="n"/>
      <c r="C105" s="128" t="n"/>
      <c r="D105" s="128" t="n"/>
      <c r="E105" s="128" t="n"/>
      <c r="F105" s="128" t="n"/>
      <c r="G105" s="948" t="n"/>
      <c r="H105" s="948" t="n"/>
      <c r="I105" s="949" t="n"/>
      <c r="J105" s="948" t="n"/>
      <c r="K105" s="948" t="n"/>
      <c r="L105" s="9" t="n"/>
      <c r="M105" s="9" t="n"/>
      <c r="N105" s="9" t="n"/>
      <c r="O105" s="9" t="n"/>
      <c r="P105" s="9" t="n"/>
      <c r="Q105" s="9" t="n"/>
      <c r="R105" s="9" t="n"/>
    </row>
    <row r="106" ht="17.25" customHeight="1">
      <c r="A106" s="775" t="inlineStr">
        <is>
          <t>電　　　　　気　　　　　室</t>
        </is>
      </c>
      <c r="B106" s="775" t="inlineStr">
        <is>
          <t>引込・受電</t>
        </is>
      </c>
      <c r="C106" s="763" t="inlineStr">
        <is>
          <t>電圧</t>
        </is>
      </c>
      <c r="D106" s="586" t="n"/>
      <c r="E106" s="587" t="n"/>
      <c r="F106" s="414" t="inlineStr">
        <is>
          <t>KV</t>
        </is>
      </c>
      <c r="G106" s="333" t="n"/>
      <c r="H106" s="333" t="n"/>
      <c r="I106" s="332" t="n"/>
      <c r="J106" s="333" t="n"/>
      <c r="K106" s="933" t="n"/>
      <c r="L106" s="9" t="n"/>
      <c r="M106" s="9" t="n"/>
      <c r="N106" s="9" t="n"/>
      <c r="O106" s="9" t="n"/>
      <c r="P106" s="9" t="n"/>
      <c r="Q106" s="9" t="n"/>
      <c r="R106" s="9" t="n"/>
    </row>
    <row r="107" ht="17.25" customHeight="1">
      <c r="A107" s="679" t="n"/>
      <c r="B107" s="679" t="n"/>
      <c r="C107" s="590" t="n"/>
      <c r="D107" s="598" t="n"/>
      <c r="E107" s="591" t="n"/>
      <c r="F107" s="415" t="inlineStr">
        <is>
          <t>モード</t>
        </is>
      </c>
      <c r="G107" s="416" t="n"/>
      <c r="H107" s="416" t="n"/>
      <c r="I107" s="416" t="n"/>
      <c r="J107" s="416" t="n"/>
      <c r="K107" s="416" t="n"/>
      <c r="L107" s="9" t="n"/>
      <c r="M107" s="9" t="n"/>
      <c r="N107" s="9" t="n"/>
      <c r="O107" s="9" t="n"/>
      <c r="P107" s="9" t="n"/>
      <c r="Q107" s="9" t="n"/>
      <c r="R107" s="9" t="n"/>
    </row>
    <row r="108" ht="17.25" customHeight="1">
      <c r="A108" s="679" t="n"/>
      <c r="B108" s="679" t="n"/>
      <c r="C108" s="763" t="inlineStr">
        <is>
          <t>力率</t>
        </is>
      </c>
      <c r="D108" s="574" t="n"/>
      <c r="E108" s="580" t="n"/>
      <c r="F108" s="418" t="inlineStr">
        <is>
          <t>ψ</t>
        </is>
      </c>
      <c r="G108" s="419" t="n"/>
      <c r="H108" s="419" t="n"/>
      <c r="I108" s="420" t="n"/>
      <c r="J108" s="419" t="n"/>
      <c r="K108" s="419" t="n"/>
      <c r="L108" s="9" t="n"/>
      <c r="M108" s="9" t="n"/>
      <c r="N108" s="9" t="n"/>
      <c r="O108" s="9" t="n"/>
      <c r="P108" s="9" t="n"/>
      <c r="Q108" s="9" t="n"/>
      <c r="R108" s="9" t="n"/>
    </row>
    <row r="109" ht="17.25" customHeight="1">
      <c r="A109" s="679" t="n"/>
      <c r="B109" s="679" t="n"/>
      <c r="C109" s="763" t="inlineStr">
        <is>
          <t>電流</t>
        </is>
      </c>
      <c r="D109" s="586" t="n"/>
      <c r="E109" s="587" t="n"/>
      <c r="F109" s="414" t="inlineStr">
        <is>
          <t>A</t>
        </is>
      </c>
      <c r="G109" s="933" t="n"/>
      <c r="H109" s="933" t="n"/>
      <c r="I109" s="932" t="n"/>
      <c r="J109" s="933" t="n"/>
      <c r="K109" s="933" t="n"/>
      <c r="L109" s="9" t="n"/>
      <c r="M109" s="9" t="n"/>
      <c r="N109" s="9" t="n"/>
      <c r="O109" s="9" t="n"/>
      <c r="P109" s="9" t="n"/>
      <c r="Q109" s="9" t="n"/>
      <c r="R109" s="9" t="n"/>
    </row>
    <row r="110" ht="17.25" customHeight="1">
      <c r="A110" s="679" t="n"/>
      <c r="B110" s="679" t="n"/>
      <c r="C110" s="590" t="n"/>
      <c r="D110" s="598" t="n"/>
      <c r="E110" s="591" t="n"/>
      <c r="F110" s="415" t="inlineStr">
        <is>
          <t>モード</t>
        </is>
      </c>
      <c r="G110" s="416" t="n"/>
      <c r="H110" s="416" t="n"/>
      <c r="I110" s="416" t="n"/>
      <c r="J110" s="416" t="n"/>
      <c r="K110" s="416" t="n"/>
      <c r="L110" s="9" t="n"/>
      <c r="M110" s="9" t="n"/>
      <c r="N110" s="9" t="n"/>
      <c r="O110" s="9" t="n"/>
      <c r="P110" s="9" t="n"/>
      <c r="Q110" s="9" t="n"/>
      <c r="R110" s="9" t="n"/>
    </row>
    <row r="111" ht="17.25" customHeight="1">
      <c r="A111" s="679" t="n"/>
      <c r="B111" s="679" t="n"/>
      <c r="C111" s="763" t="inlineStr">
        <is>
          <t>普通電力量（×１０ｋw）</t>
        </is>
      </c>
      <c r="D111" s="586" t="n"/>
      <c r="E111" s="587" t="n"/>
      <c r="F111" s="414" t="inlineStr">
        <is>
          <t>読み</t>
        </is>
      </c>
      <c r="G111" s="943" t="n"/>
      <c r="H111" s="943" t="n"/>
      <c r="I111" s="944" t="n"/>
      <c r="J111" s="943" t="n"/>
      <c r="K111" s="943" t="n"/>
      <c r="L111" s="9" t="n"/>
      <c r="M111" s="9" t="n"/>
      <c r="N111" s="9" t="n"/>
      <c r="O111" s="9" t="n"/>
      <c r="P111" s="9" t="n"/>
      <c r="Q111" s="9" t="n"/>
      <c r="R111" s="9" t="n"/>
    </row>
    <row r="112" ht="17.25" customHeight="1">
      <c r="A112" s="679" t="n"/>
      <c r="B112" s="679" t="n"/>
      <c r="C112" s="590" t="n"/>
      <c r="D112" s="598" t="n"/>
      <c r="E112" s="591" t="n"/>
      <c r="F112" s="415" t="inlineStr">
        <is>
          <t>使用量</t>
        </is>
      </c>
      <c r="G112" s="946" t="n"/>
      <c r="H112" s="946" t="n"/>
      <c r="I112" s="947" t="n"/>
      <c r="J112" s="946" t="n"/>
      <c r="K112" s="946" t="n"/>
      <c r="L112" s="9" t="n"/>
      <c r="M112" s="9" t="n"/>
      <c r="N112" s="9" t="n"/>
      <c r="O112" s="9" t="n"/>
      <c r="P112" s="9" t="n"/>
      <c r="Q112" s="9" t="n"/>
      <c r="R112" s="9" t="n"/>
    </row>
    <row r="113" ht="17.25" customHeight="1">
      <c r="A113" s="679" t="n"/>
      <c r="B113" s="679" t="n"/>
      <c r="C113" s="763" t="inlineStr">
        <is>
          <t>引込・受電設定</t>
        </is>
      </c>
      <c r="D113" s="586" t="n"/>
      <c r="E113" s="587" t="n"/>
      <c r="F113" s="414" t="inlineStr">
        <is>
          <t>手動/自動</t>
        </is>
      </c>
      <c r="G113" s="333" t="n"/>
      <c r="H113" s="333" t="n"/>
      <c r="I113" s="332" t="n"/>
      <c r="J113" s="333" t="n"/>
      <c r="K113" s="333" t="n"/>
      <c r="L113" s="9" t="n"/>
      <c r="M113" s="9" t="n"/>
      <c r="N113" s="9" t="n"/>
      <c r="O113" s="9" t="n"/>
      <c r="P113" s="9" t="n"/>
      <c r="Q113" s="9" t="n"/>
      <c r="R113" s="9" t="n"/>
    </row>
    <row r="114" ht="17.25" customHeight="1">
      <c r="A114" s="679" t="n"/>
      <c r="B114" s="626" t="n"/>
      <c r="C114" s="590" t="n"/>
      <c r="D114" s="598" t="n"/>
      <c r="E114" s="591" t="n"/>
      <c r="F114" s="415" t="inlineStr">
        <is>
          <t>切/入</t>
        </is>
      </c>
      <c r="G114" s="416" t="n"/>
      <c r="H114" s="416" t="n"/>
      <c r="I114" s="426" t="n"/>
      <c r="J114" s="416" t="n"/>
      <c r="K114" s="416" t="n"/>
      <c r="L114" s="9" t="n"/>
      <c r="M114" s="9" t="n"/>
      <c r="N114" s="9" t="n"/>
      <c r="O114" s="9" t="n"/>
      <c r="P114" s="9" t="n"/>
      <c r="Q114" s="9" t="n"/>
      <c r="R114" s="9" t="n"/>
    </row>
    <row r="115" ht="17.25" customHeight="1">
      <c r="A115" s="679" t="n"/>
      <c r="B115" s="783" t="inlineStr">
        <is>
          <t>変圧器</t>
        </is>
      </c>
      <c r="C115" s="760" t="inlineStr">
        <is>
          <t>主変圧器温度</t>
        </is>
      </c>
      <c r="D115" s="586" t="n"/>
      <c r="E115" s="587" t="n"/>
      <c r="F115" s="414" t="inlineStr">
        <is>
          <t>℃</t>
        </is>
      </c>
      <c r="G115" s="333" t="n"/>
      <c r="H115" s="333" t="n"/>
      <c r="I115" s="332" t="n"/>
      <c r="J115" s="333" t="n"/>
      <c r="K115" s="333" t="n"/>
      <c r="L115" s="9" t="n"/>
      <c r="M115" s="9" t="n"/>
      <c r="N115" s="9" t="n"/>
      <c r="O115" s="9" t="n"/>
      <c r="P115" s="9" t="n"/>
      <c r="Q115" s="9" t="n"/>
      <c r="R115" s="9" t="n"/>
    </row>
    <row r="116" ht="17.25" customHeight="1">
      <c r="A116" s="679" t="n"/>
      <c r="B116" s="626" t="n"/>
      <c r="C116" s="774" t="inlineStr">
        <is>
          <t>異音、脱臭の有無</t>
        </is>
      </c>
      <c r="D116" s="598" t="n"/>
      <c r="E116" s="591" t="n"/>
      <c r="F116" s="415" t="inlineStr">
        <is>
          <t>有・無</t>
        </is>
      </c>
      <c r="G116" s="416" t="n"/>
      <c r="H116" s="416" t="n"/>
      <c r="I116" s="426" t="n"/>
      <c r="J116" s="416" t="n"/>
      <c r="K116" s="416" t="n"/>
      <c r="L116" s="9" t="n"/>
      <c r="M116" s="9" t="n"/>
      <c r="N116" s="9" t="n"/>
      <c r="O116" s="9" t="n"/>
      <c r="P116" s="9" t="n"/>
      <c r="Q116" s="9" t="n"/>
      <c r="R116" s="9" t="n"/>
    </row>
    <row r="117" ht="17.25" customHeight="1">
      <c r="A117" s="679" t="n"/>
      <c r="B117" s="759" t="inlineStr">
        <is>
          <t>低　　圧　　分　　岐</t>
        </is>
      </c>
      <c r="C117" s="763" t="inlineStr">
        <is>
          <t>動力（２１０V）　電圧</t>
        </is>
      </c>
      <c r="D117" s="586" t="n"/>
      <c r="E117" s="587" t="n"/>
      <c r="F117" s="414" t="inlineStr">
        <is>
          <t>V</t>
        </is>
      </c>
      <c r="G117" s="333" t="n"/>
      <c r="H117" s="333" t="n"/>
      <c r="I117" s="332" t="n"/>
      <c r="J117" s="333" t="n"/>
      <c r="K117" s="333" t="n"/>
      <c r="L117" s="9" t="n"/>
      <c r="M117" s="9" t="n"/>
      <c r="N117" s="9" t="n"/>
      <c r="O117" s="9" t="n"/>
      <c r="P117" s="9" t="n"/>
      <c r="Q117" s="9" t="n"/>
      <c r="R117" s="9" t="n"/>
    </row>
    <row r="118" ht="17.25" customHeight="1">
      <c r="A118" s="679" t="n"/>
      <c r="B118" s="679" t="n"/>
      <c r="C118" s="590" t="n"/>
      <c r="D118" s="598" t="n"/>
      <c r="E118" s="591" t="n"/>
      <c r="F118" s="415" t="inlineStr">
        <is>
          <t>モード</t>
        </is>
      </c>
      <c r="G118" s="416" t="n"/>
      <c r="H118" s="416" t="n"/>
      <c r="I118" s="416" t="n"/>
      <c r="J118" s="416" t="n"/>
      <c r="K118" s="416" t="n"/>
      <c r="L118" s="9" t="n"/>
      <c r="M118" s="9" t="n"/>
      <c r="N118" s="9" t="n"/>
      <c r="O118" s="9" t="n"/>
      <c r="P118" s="9" t="n"/>
      <c r="Q118" s="9" t="n"/>
      <c r="R118" s="9" t="n"/>
    </row>
    <row r="119" ht="17.25" customHeight="1">
      <c r="A119" s="679" t="n"/>
      <c r="B119" s="679" t="n"/>
      <c r="C119" s="763" t="inlineStr">
        <is>
          <t>動力（２１０V）　電流</t>
        </is>
      </c>
      <c r="D119" s="586" t="n"/>
      <c r="E119" s="587" t="n"/>
      <c r="F119" s="428" t="inlineStr">
        <is>
          <t>A</t>
        </is>
      </c>
      <c r="G119" s="429" t="n"/>
      <c r="H119" s="429" t="n"/>
      <c r="I119" s="430" t="n"/>
      <c r="J119" s="429" t="n"/>
      <c r="K119" s="429" t="n"/>
      <c r="L119" s="9" t="n"/>
      <c r="M119" s="9" t="n"/>
      <c r="N119" s="9" t="n"/>
      <c r="O119" s="9" t="n"/>
      <c r="P119" s="9" t="n"/>
      <c r="Q119" s="9" t="n"/>
      <c r="R119" s="9" t="n"/>
    </row>
    <row r="120" ht="17.25" customHeight="1">
      <c r="A120" s="679" t="n"/>
      <c r="B120" s="679" t="n"/>
      <c r="C120" s="590" t="n"/>
      <c r="D120" s="598" t="n"/>
      <c r="E120" s="591" t="n"/>
      <c r="F120" s="431" t="inlineStr">
        <is>
          <t>モード</t>
        </is>
      </c>
      <c r="G120" s="498" t="n"/>
      <c r="H120" s="498" t="n"/>
      <c r="I120" s="498" t="n"/>
      <c r="J120" s="498" t="n"/>
      <c r="K120" s="498" t="n"/>
      <c r="L120" s="9" t="n"/>
      <c r="M120" s="9" t="n"/>
      <c r="N120" s="9" t="n"/>
      <c r="O120" s="9" t="n"/>
      <c r="P120" s="9" t="n"/>
      <c r="Q120" s="9" t="n"/>
      <c r="R120" s="9" t="n"/>
    </row>
    <row r="121" ht="17.25" customHeight="1">
      <c r="A121" s="679" t="n"/>
      <c r="B121" s="679" t="n"/>
      <c r="C121" s="763" t="inlineStr">
        <is>
          <t>照明(210-105V)　　電流</t>
        </is>
      </c>
      <c r="D121" s="586" t="n"/>
      <c r="E121" s="587" t="n"/>
      <c r="F121" s="428" t="inlineStr">
        <is>
          <t>A</t>
        </is>
      </c>
      <c r="G121" s="429" t="n"/>
      <c r="H121" s="429" t="n"/>
      <c r="I121" s="430" t="n"/>
      <c r="J121" s="429" t="n"/>
      <c r="K121" s="429" t="n"/>
      <c r="L121" s="9" t="n"/>
      <c r="M121" s="9" t="n"/>
      <c r="N121" s="9" t="n"/>
      <c r="O121" s="9" t="n"/>
      <c r="P121" s="9" t="n"/>
      <c r="Q121" s="9" t="n"/>
      <c r="R121" s="9" t="n"/>
    </row>
    <row r="122" ht="17.25" customHeight="1">
      <c r="A122" s="679" t="n"/>
      <c r="B122" s="679" t="n"/>
      <c r="C122" s="590" t="n"/>
      <c r="D122" s="598" t="n"/>
      <c r="E122" s="591" t="n"/>
      <c r="F122" s="431" t="inlineStr">
        <is>
          <t>モード</t>
        </is>
      </c>
      <c r="G122" s="416" t="n"/>
      <c r="H122" s="416" t="n"/>
      <c r="I122" s="416" t="n"/>
      <c r="J122" s="416" t="n"/>
      <c r="K122" s="416" t="n"/>
      <c r="L122" s="9" t="n"/>
      <c r="M122" s="9" t="n"/>
      <c r="N122" s="9" t="n"/>
      <c r="O122" s="9" t="n"/>
      <c r="P122" s="9" t="n"/>
      <c r="Q122" s="9" t="n"/>
      <c r="R122" s="9" t="n"/>
    </row>
    <row r="123" ht="17.25" customHeight="1">
      <c r="A123" s="679" t="n"/>
      <c r="B123" s="679" t="n"/>
      <c r="C123" s="763" t="inlineStr">
        <is>
          <t>低圧分岐設備</t>
        </is>
      </c>
      <c r="D123" s="574" t="n"/>
      <c r="E123" s="580" t="n"/>
      <c r="F123" s="418" t="inlineStr">
        <is>
          <t>買電/自家発</t>
        </is>
      </c>
      <c r="G123" s="309" t="n"/>
      <c r="H123" s="309" t="n"/>
      <c r="I123" s="308" t="n"/>
      <c r="J123" s="309" t="n"/>
      <c r="K123" s="309" t="n"/>
      <c r="L123" s="9" t="n"/>
      <c r="M123" s="9" t="n"/>
      <c r="N123" s="9" t="n"/>
      <c r="O123" s="9" t="n"/>
      <c r="P123" s="9" t="n"/>
      <c r="Q123" s="9" t="n"/>
      <c r="R123" s="9" t="n"/>
    </row>
    <row r="124" ht="17.25" customHeight="1">
      <c r="A124" s="679" t="n"/>
      <c r="B124" s="679" t="n"/>
      <c r="C124" s="760" t="inlineStr">
        <is>
          <t>沈砂池ポンプ設備</t>
        </is>
      </c>
      <c r="D124" s="586" t="n"/>
      <c r="E124" s="587" t="n"/>
      <c r="F124" s="428" t="inlineStr">
        <is>
          <t>読み</t>
        </is>
      </c>
      <c r="G124" s="429" t="n"/>
      <c r="H124" s="429" t="n"/>
      <c r="I124" s="430" t="n"/>
      <c r="J124" s="429" t="n"/>
      <c r="K124" s="429" t="n"/>
      <c r="L124" s="9" t="n"/>
      <c r="M124" s="9" t="n"/>
      <c r="N124" s="9" t="n"/>
      <c r="O124" s="9" t="n"/>
      <c r="P124" s="9" t="n"/>
      <c r="Q124" s="9" t="n"/>
      <c r="R124" s="9" t="n"/>
    </row>
    <row r="125" ht="17.25" customHeight="1">
      <c r="A125" s="679" t="n"/>
      <c r="B125" s="679" t="n"/>
      <c r="C125" s="774" t="inlineStr">
        <is>
          <t>（×１ｋｗｈ）</t>
        </is>
      </c>
      <c r="D125" s="598" t="n"/>
      <c r="E125" s="591" t="n"/>
      <c r="F125" s="415" t="inlineStr">
        <is>
          <t>使用量</t>
        </is>
      </c>
      <c r="G125" s="499" t="n"/>
      <c r="H125" s="499" t="n"/>
      <c r="I125" s="426" t="n"/>
      <c r="J125" s="416" t="n"/>
      <c r="K125" s="416" t="n"/>
      <c r="L125" s="9" t="n"/>
      <c r="M125" s="9" t="n"/>
      <c r="N125" s="9" t="n"/>
      <c r="O125" s="9" t="n"/>
      <c r="P125" s="9" t="n"/>
      <c r="Q125" s="9" t="n"/>
      <c r="R125" s="9" t="n"/>
    </row>
    <row r="126" ht="17.25" customHeight="1">
      <c r="A126" s="679" t="n"/>
      <c r="B126" s="679" t="n"/>
      <c r="C126" s="760" t="inlineStr">
        <is>
          <t>水処理設備（１）</t>
        </is>
      </c>
      <c r="D126" s="586" t="n"/>
      <c r="E126" s="587" t="n"/>
      <c r="F126" s="428" t="inlineStr">
        <is>
          <t>読み</t>
        </is>
      </c>
      <c r="G126" s="429" t="n"/>
      <c r="H126" s="429" t="n"/>
      <c r="I126" s="430" t="n"/>
      <c r="J126" s="429" t="n"/>
      <c r="K126" s="429" t="n"/>
      <c r="L126" s="9" t="n"/>
      <c r="M126" s="9" t="n"/>
      <c r="N126" s="9" t="n"/>
      <c r="O126" s="9" t="n"/>
      <c r="P126" s="9" t="n"/>
      <c r="Q126" s="9" t="n"/>
      <c r="R126" s="9" t="n"/>
    </row>
    <row r="127" ht="17.25" customHeight="1">
      <c r="A127" s="679" t="n"/>
      <c r="B127" s="679" t="n"/>
      <c r="C127" s="774" t="inlineStr">
        <is>
          <t>（×１ｋｗｈ）</t>
        </is>
      </c>
      <c r="D127" s="598" t="n"/>
      <c r="E127" s="591" t="n"/>
      <c r="F127" s="415" t="inlineStr">
        <is>
          <t>使用量</t>
        </is>
      </c>
      <c r="G127" s="499" t="n"/>
      <c r="H127" s="499" t="n"/>
      <c r="I127" s="426" t="n"/>
      <c r="J127" s="416" t="n"/>
      <c r="K127" s="416" t="n"/>
      <c r="L127" s="9" t="n"/>
      <c r="M127" s="9" t="n"/>
      <c r="N127" s="9" t="n"/>
      <c r="O127" s="9" t="n"/>
      <c r="P127" s="9" t="n"/>
      <c r="Q127" s="9" t="n"/>
      <c r="R127" s="9" t="n"/>
    </row>
    <row r="128" ht="17.25" customHeight="1">
      <c r="A128" s="679" t="n"/>
      <c r="B128" s="679" t="n"/>
      <c r="C128" s="760" t="inlineStr">
        <is>
          <t>水処理設備（２）</t>
        </is>
      </c>
      <c r="D128" s="586" t="n"/>
      <c r="E128" s="587" t="n"/>
      <c r="F128" s="428" t="inlineStr">
        <is>
          <t>読み</t>
        </is>
      </c>
      <c r="G128" s="429" t="n"/>
      <c r="H128" s="429" t="n"/>
      <c r="I128" s="430" t="n"/>
      <c r="J128" s="429" t="n"/>
      <c r="K128" s="429" t="n"/>
      <c r="L128" s="9" t="n"/>
      <c r="M128" s="9" t="n"/>
      <c r="N128" s="9" t="n"/>
      <c r="O128" s="9" t="n"/>
      <c r="P128" s="9" t="n"/>
      <c r="Q128" s="9" t="n"/>
      <c r="R128" s="9" t="n"/>
    </row>
    <row r="129" ht="17.25" customHeight="1">
      <c r="A129" s="679" t="n"/>
      <c r="B129" s="679" t="n"/>
      <c r="C129" s="774" t="inlineStr">
        <is>
          <t>（×１ｋｗｈ）</t>
        </is>
      </c>
      <c r="D129" s="598" t="n"/>
      <c r="E129" s="591" t="n"/>
      <c r="F129" s="415" t="inlineStr">
        <is>
          <t>使用量</t>
        </is>
      </c>
      <c r="G129" s="499" t="n"/>
      <c r="H129" s="499" t="n"/>
      <c r="I129" s="426" t="n"/>
      <c r="J129" s="416" t="n"/>
      <c r="K129" s="416" t="n"/>
      <c r="L129" s="9" t="n"/>
      <c r="M129" s="9" t="n"/>
      <c r="N129" s="9" t="n"/>
      <c r="O129" s="9" t="n"/>
      <c r="P129" s="9" t="n"/>
      <c r="Q129" s="9" t="n"/>
      <c r="R129" s="9" t="n"/>
    </row>
    <row r="130" ht="17.25" customHeight="1">
      <c r="A130" s="679" t="n"/>
      <c r="B130" s="679" t="n"/>
      <c r="C130" s="760" t="inlineStr">
        <is>
          <t>汚泥処理設備電力量</t>
        </is>
      </c>
      <c r="D130" s="586" t="n"/>
      <c r="E130" s="587" t="n"/>
      <c r="F130" s="428" t="inlineStr">
        <is>
          <t>読み</t>
        </is>
      </c>
      <c r="G130" s="429" t="n"/>
      <c r="H130" s="429" t="n"/>
      <c r="I130" s="430" t="n"/>
      <c r="J130" s="429" t="n"/>
      <c r="K130" s="429" t="n"/>
      <c r="L130" s="9" t="n"/>
      <c r="M130" s="9" t="n"/>
      <c r="N130" s="9" t="n"/>
      <c r="O130" s="9" t="n"/>
      <c r="P130" s="9" t="n"/>
      <c r="Q130" s="9" t="n"/>
      <c r="R130" s="9" t="n"/>
    </row>
    <row r="131" ht="17.25" customHeight="1">
      <c r="A131" s="679" t="n"/>
      <c r="B131" s="679" t="n"/>
      <c r="C131" s="774" t="inlineStr">
        <is>
          <t>（×１ｋｗｈ）</t>
        </is>
      </c>
      <c r="D131" s="598" t="n"/>
      <c r="E131" s="591" t="n"/>
      <c r="F131" s="415" t="inlineStr">
        <is>
          <t>使用量</t>
        </is>
      </c>
      <c r="G131" s="499" t="n"/>
      <c r="H131" s="499" t="n"/>
      <c r="I131" s="426" t="n"/>
      <c r="J131" s="416" t="n"/>
      <c r="K131" s="416" t="n"/>
      <c r="L131" s="9" t="n"/>
      <c r="M131" s="9" t="n"/>
      <c r="N131" s="9" t="n"/>
      <c r="O131" s="9" t="n"/>
      <c r="P131" s="9" t="n"/>
      <c r="Q131" s="9" t="n"/>
      <c r="R131" s="9" t="n"/>
    </row>
    <row r="132" ht="17.25" customHeight="1">
      <c r="A132" s="679" t="n"/>
      <c r="B132" s="679" t="n"/>
      <c r="C132" s="763" t="inlineStr">
        <is>
          <t>No.１　コンデンサー(電磁接触器)</t>
        </is>
      </c>
      <c r="D132" s="574" t="n"/>
      <c r="E132" s="580" t="n"/>
      <c r="F132" s="765" t="inlineStr">
        <is>
          <t>切/入</t>
        </is>
      </c>
      <c r="G132" s="309" t="n"/>
      <c r="H132" s="309" t="n"/>
      <c r="I132" s="309" t="n"/>
      <c r="J132" s="309" t="n"/>
      <c r="K132" s="309" t="n"/>
      <c r="L132" s="9" t="n"/>
      <c r="M132" s="9" t="n"/>
      <c r="N132" s="9" t="n"/>
      <c r="O132" s="9" t="n"/>
      <c r="P132" s="9" t="n"/>
      <c r="Q132" s="9" t="n"/>
      <c r="R132" s="9" t="n"/>
    </row>
    <row r="133" ht="17.25" customHeight="1">
      <c r="A133" s="679" t="n"/>
      <c r="B133" s="679" t="n"/>
      <c r="C133" s="763" t="inlineStr">
        <is>
          <t>No.２　コンデンサー(電磁接触器)</t>
        </is>
      </c>
      <c r="D133" s="574" t="n"/>
      <c r="E133" s="580" t="n"/>
      <c r="F133" s="765" t="inlineStr">
        <is>
          <t>切/入</t>
        </is>
      </c>
      <c r="G133" s="309" t="n"/>
      <c r="H133" s="309" t="n"/>
      <c r="I133" s="309" t="n"/>
      <c r="J133" s="309" t="n"/>
      <c r="K133" s="309" t="n"/>
      <c r="L133" s="9" t="n"/>
      <c r="M133" s="9" t="n"/>
      <c r="N133" s="9" t="n"/>
      <c r="O133" s="9" t="n"/>
      <c r="P133" s="9" t="n"/>
      <c r="Q133" s="9" t="n"/>
      <c r="R133" s="9" t="n"/>
    </row>
    <row r="134" ht="17.25" customHeight="1">
      <c r="A134" s="626" t="n"/>
      <c r="B134" s="626" t="n"/>
      <c r="C134" s="763" t="inlineStr">
        <is>
          <t>No.３　コンデンサー(電磁接触器)</t>
        </is>
      </c>
      <c r="D134" s="574" t="n"/>
      <c r="E134" s="580" t="n"/>
      <c r="F134" s="765" t="inlineStr">
        <is>
          <t>切/入</t>
        </is>
      </c>
      <c r="G134" s="309" t="n"/>
      <c r="H134" s="309" t="n"/>
      <c r="I134" s="309" t="n"/>
      <c r="J134" s="309" t="n"/>
      <c r="K134" s="309" t="n"/>
      <c r="L134" s="9" t="n"/>
      <c r="M134" s="9" t="n"/>
      <c r="N134" s="9" t="n"/>
      <c r="O134" s="9" t="n"/>
      <c r="P134" s="9" t="n"/>
      <c r="Q134" s="9" t="n"/>
      <c r="R134" s="9" t="n"/>
    </row>
    <row r="135" ht="13.5" customHeight="1">
      <c r="A135" s="781" t="inlineStr">
        <is>
          <t>備　考</t>
        </is>
      </c>
      <c r="B135" s="360" t="n"/>
      <c r="C135" s="747" t="n"/>
      <c r="D135" s="747" t="n"/>
      <c r="E135" s="747" t="n"/>
      <c r="F135" s="747" t="n"/>
      <c r="G135" s="500" t="n"/>
      <c r="H135" s="747" t="n"/>
      <c r="I135" s="747" t="n"/>
      <c r="J135" s="747" t="n"/>
      <c r="K135" s="435" t="n"/>
      <c r="L135" s="9" t="n"/>
      <c r="M135" s="9" t="n"/>
      <c r="N135" s="9" t="n"/>
      <c r="O135" s="9" t="n"/>
      <c r="P135" s="9" t="n"/>
      <c r="Q135" s="9" t="n"/>
      <c r="R135" s="9" t="n"/>
    </row>
    <row r="136" ht="13.5" customHeight="1">
      <c r="A136" s="679" t="n"/>
      <c r="B136" s="361" t="n"/>
      <c r="C136" s="128" t="n"/>
      <c r="D136" s="128" t="n"/>
      <c r="E136" s="128" t="n"/>
      <c r="F136" s="357" t="n"/>
      <c r="G136" s="371" t="n"/>
      <c r="H136" s="371" t="n"/>
      <c r="I136" s="371" t="n"/>
      <c r="J136" s="371" t="n"/>
      <c r="K136" s="436" t="n"/>
      <c r="L136" s="9" t="n"/>
      <c r="M136" s="9" t="n"/>
      <c r="N136" s="9" t="n"/>
      <c r="O136" s="9" t="n"/>
      <c r="P136" s="9" t="n"/>
      <c r="Q136" s="9" t="n"/>
      <c r="R136" s="9" t="n"/>
    </row>
    <row r="137" ht="22.5" customHeight="1">
      <c r="A137" s="626" t="n"/>
      <c r="B137" s="437" t="n"/>
      <c r="C137" s="438" t="n"/>
      <c r="D137" s="438" t="n"/>
      <c r="E137" s="438" t="n"/>
      <c r="F137" s="438" t="n"/>
      <c r="G137" s="439" t="n"/>
      <c r="H137" s="439" t="n"/>
      <c r="I137" s="439" t="n"/>
      <c r="J137" s="479" t="n"/>
      <c r="K137" s="440" t="n"/>
      <c r="L137" s="9" t="n"/>
      <c r="M137" s="9" t="n"/>
      <c r="N137" s="9" t="n"/>
      <c r="O137" s="9" t="n"/>
      <c r="P137" s="9" t="n"/>
      <c r="Q137" s="9" t="n"/>
      <c r="R137" s="9" t="n"/>
    </row>
    <row r="138" ht="21" customHeight="1">
      <c r="A138" s="299" t="inlineStr">
        <is>
          <t xml:space="preserve">　電気設備日常点検（２/３）</t>
        </is>
      </c>
      <c r="B138" s="128" t="n"/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355">
        <f>K1</f>
        <v/>
      </c>
      <c r="L138" s="9" t="n"/>
      <c r="M138" s="9" t="n"/>
      <c r="N138" s="9" t="n"/>
      <c r="O138" s="9" t="n"/>
      <c r="P138" s="9" t="n"/>
      <c r="Q138" s="9" t="n"/>
      <c r="R138" s="9" t="n"/>
    </row>
    <row r="139" ht="16.5" customHeight="1">
      <c r="A139" s="768" t="n"/>
      <c r="B139" s="765" t="inlineStr">
        <is>
          <t>機器名</t>
        </is>
      </c>
      <c r="C139" s="587" t="n"/>
      <c r="D139" s="765" t="inlineStr">
        <is>
          <t>点　　検　　者　　氏　　名</t>
        </is>
      </c>
      <c r="E139" s="574" t="n"/>
      <c r="F139" s="580" t="n"/>
      <c r="G139" s="309" t="n"/>
      <c r="H139" s="309" t="n"/>
      <c r="I139" s="308" t="n"/>
      <c r="J139" s="309" t="n"/>
      <c r="K139" s="309" t="n"/>
      <c r="L139" s="9" t="n"/>
      <c r="M139" s="9" t="n"/>
      <c r="N139" s="9" t="n"/>
      <c r="O139" s="9" t="n"/>
      <c r="P139" s="9" t="n"/>
      <c r="Q139" s="9" t="n"/>
      <c r="R139" s="9" t="n"/>
    </row>
    <row r="140" ht="16.5" customHeight="1">
      <c r="A140" s="626" t="n"/>
      <c r="B140" s="590" t="n"/>
      <c r="C140" s="591" t="n"/>
      <c r="D140" s="765" t="inlineStr">
        <is>
          <t>点　　　検　　　内　　　容</t>
        </is>
      </c>
      <c r="E140" s="574" t="n"/>
      <c r="F140" s="580" t="n"/>
      <c r="G140" s="948" t="n"/>
      <c r="H140" s="948" t="n"/>
      <c r="I140" s="949" t="n"/>
      <c r="J140" s="948" t="n"/>
      <c r="K140" s="948" t="n"/>
      <c r="L140" s="9" t="n"/>
      <c r="M140" s="9" t="n"/>
      <c r="N140" s="9" t="n"/>
      <c r="O140" s="9" t="n"/>
      <c r="P140" s="9" t="n"/>
      <c r="Q140" s="9" t="n"/>
      <c r="R140" s="9" t="n"/>
    </row>
    <row r="141" ht="16.5" customHeight="1">
      <c r="A141" s="761" t="n">
        <v>0</v>
      </c>
      <c r="B141" s="767" t="inlineStr">
        <is>
          <t>Nｏ．１オキシデーションディッチＤＯ計</t>
        </is>
      </c>
      <c r="C141" s="587" t="n"/>
      <c r="D141" s="773" t="inlineStr">
        <is>
          <t>外観の確認</t>
        </is>
      </c>
      <c r="E141" s="950" t="n"/>
      <c r="F141" s="445" t="n"/>
      <c r="G141" s="333" t="n"/>
      <c r="H141" s="333" t="n"/>
      <c r="I141" s="332" t="n"/>
      <c r="J141" s="333" t="n"/>
      <c r="K141" s="333" t="n"/>
      <c r="L141" s="9" t="n"/>
      <c r="M141" s="9" t="n"/>
      <c r="N141" s="9" t="n"/>
      <c r="O141" s="9" t="n"/>
      <c r="P141" s="9" t="n"/>
      <c r="Q141" s="9" t="n"/>
      <c r="R141" s="9" t="n"/>
    </row>
    <row r="142" ht="16.5" customHeight="1">
      <c r="A142" s="679" t="n"/>
      <c r="B142" s="613" t="n"/>
      <c r="C142" s="602" t="n"/>
      <c r="D142" s="777" t="inlineStr">
        <is>
          <t>指示状況の確認</t>
        </is>
      </c>
      <c r="E142" s="951" t="n"/>
      <c r="F142" s="446" t="n"/>
      <c r="G142" s="447" t="n"/>
      <c r="H142" s="447" t="n"/>
      <c r="I142" s="448" t="n"/>
      <c r="J142" s="447" t="n"/>
      <c r="K142" s="447" t="n"/>
      <c r="L142" s="9" t="n"/>
      <c r="M142" s="9" t="n"/>
      <c r="N142" s="9" t="n"/>
      <c r="O142" s="9" t="n"/>
      <c r="P142" s="9" t="n"/>
      <c r="Q142" s="9" t="n"/>
      <c r="R142" s="9" t="n"/>
    </row>
    <row r="143" ht="16.5" customHeight="1">
      <c r="A143" s="679" t="n"/>
      <c r="B143" s="590" t="n"/>
      <c r="C143" s="591" t="n"/>
      <c r="D143" s="762" t="inlineStr">
        <is>
          <t>ＤＯ値</t>
        </is>
      </c>
      <c r="E143" s="952" t="n"/>
      <c r="F143" s="449" t="inlineStr">
        <is>
          <t>㎎/ℓ</t>
        </is>
      </c>
      <c r="G143" s="450" t="n"/>
      <c r="H143" s="450" t="n"/>
      <c r="I143" s="451" t="n"/>
      <c r="J143" s="450" t="n"/>
      <c r="K143" s="450" t="n"/>
      <c r="L143" s="9" t="n"/>
      <c r="M143" s="9" t="n"/>
      <c r="N143" s="9" t="n"/>
      <c r="O143" s="9" t="n"/>
      <c r="P143" s="9" t="n"/>
      <c r="Q143" s="9" t="n"/>
      <c r="R143" s="9" t="n"/>
    </row>
    <row r="144" ht="16.5" customHeight="1">
      <c r="A144" s="679" t="n"/>
      <c r="B144" s="767" t="inlineStr">
        <is>
          <t>Nｏ．２オキシデーションディッチＤＯ計</t>
        </is>
      </c>
      <c r="C144" s="587" t="n"/>
      <c r="D144" s="773" t="inlineStr">
        <is>
          <t>外観の確認</t>
        </is>
      </c>
      <c r="E144" s="950" t="n"/>
      <c r="F144" s="445" t="n"/>
      <c r="G144" s="333" t="n"/>
      <c r="H144" s="333" t="n"/>
      <c r="I144" s="332" t="n"/>
      <c r="J144" s="333" t="n"/>
      <c r="K144" s="333" t="n"/>
      <c r="L144" s="9" t="n"/>
      <c r="M144" s="9" t="n"/>
      <c r="N144" s="9" t="n"/>
      <c r="O144" s="9" t="n"/>
      <c r="P144" s="9" t="n"/>
      <c r="Q144" s="9" t="n"/>
      <c r="R144" s="9" t="n"/>
    </row>
    <row r="145" ht="16.5" customHeight="1">
      <c r="A145" s="679" t="n"/>
      <c r="B145" s="613" t="n"/>
      <c r="C145" s="602" t="n"/>
      <c r="D145" s="777" t="inlineStr">
        <is>
          <t>指示状況の確認</t>
        </is>
      </c>
      <c r="E145" s="951" t="n"/>
      <c r="F145" s="446" t="n"/>
      <c r="G145" s="447" t="n"/>
      <c r="H145" s="447" t="n"/>
      <c r="I145" s="448" t="n"/>
      <c r="J145" s="447" t="n"/>
      <c r="K145" s="447" t="n"/>
      <c r="L145" s="9" t="n"/>
      <c r="M145" s="9" t="n"/>
      <c r="N145" s="9" t="n"/>
      <c r="O145" s="9" t="n"/>
      <c r="P145" s="9" t="n"/>
      <c r="Q145" s="9" t="n"/>
      <c r="R145" s="9" t="n"/>
    </row>
    <row r="146" ht="16.5" customHeight="1">
      <c r="A146" s="679" t="n"/>
      <c r="B146" s="590" t="n"/>
      <c r="C146" s="591" t="n"/>
      <c r="D146" s="762" t="inlineStr">
        <is>
          <t>ＤＯ値</t>
        </is>
      </c>
      <c r="E146" s="952" t="n"/>
      <c r="F146" s="449" t="inlineStr">
        <is>
          <t>㎎/ℓ</t>
        </is>
      </c>
      <c r="G146" s="452" t="n"/>
      <c r="H146" s="452" t="n"/>
      <c r="I146" s="453" t="n"/>
      <c r="J146" s="452" t="n"/>
      <c r="K146" s="452" t="n"/>
      <c r="L146" s="9" t="n"/>
      <c r="M146" s="9" t="n"/>
      <c r="N146" s="9" t="n"/>
      <c r="O146" s="9" t="n"/>
      <c r="P146" s="9" t="n"/>
      <c r="Q146" s="9" t="n"/>
      <c r="R146" s="9" t="n"/>
    </row>
    <row r="147" ht="16.5" customHeight="1">
      <c r="A147" s="679" t="n"/>
      <c r="B147" s="767" t="inlineStr">
        <is>
          <t>Nｏ．１返送汚泥流量計</t>
        </is>
      </c>
      <c r="C147" s="587" t="n"/>
      <c r="D147" s="773" t="inlineStr">
        <is>
          <t>外観の確認</t>
        </is>
      </c>
      <c r="E147" s="950" t="n"/>
      <c r="F147" s="445" t="n"/>
      <c r="G147" s="333" t="n"/>
      <c r="H147" s="333" t="n"/>
      <c r="I147" s="332" t="n"/>
      <c r="J147" s="333" t="n"/>
      <c r="K147" s="333" t="n"/>
      <c r="L147" s="9" t="n"/>
      <c r="M147" s="9" t="n"/>
      <c r="N147" s="9" t="n"/>
      <c r="O147" s="9" t="n"/>
      <c r="P147" s="9" t="n"/>
      <c r="Q147" s="9" t="n"/>
      <c r="R147" s="9" t="n"/>
    </row>
    <row r="148" ht="16.5" customHeight="1">
      <c r="A148" s="679" t="n"/>
      <c r="B148" s="613" t="n"/>
      <c r="C148" s="602" t="n"/>
      <c r="D148" s="771" t="inlineStr">
        <is>
          <t>指示状況の確認</t>
        </is>
      </c>
      <c r="E148" s="641" t="n"/>
      <c r="F148" s="459" t="n"/>
      <c r="G148" s="447" t="n"/>
      <c r="H148" s="447" t="n"/>
      <c r="I148" s="448" t="n"/>
      <c r="J148" s="447" t="n"/>
      <c r="K148" s="447" t="n"/>
      <c r="L148" s="9" t="n"/>
      <c r="M148" s="9" t="n"/>
      <c r="N148" s="9" t="n"/>
      <c r="O148" s="9" t="n"/>
      <c r="P148" s="9" t="n"/>
      <c r="Q148" s="9" t="n"/>
      <c r="R148" s="9" t="n"/>
    </row>
    <row r="149" ht="16.5" customHeight="1">
      <c r="A149" s="679" t="n"/>
      <c r="B149" s="613" t="n"/>
      <c r="C149" s="602" t="n"/>
      <c r="D149" s="771" t="inlineStr">
        <is>
          <t>流量計の読み</t>
        </is>
      </c>
      <c r="E149" s="641" t="n"/>
      <c r="F149" s="459" t="inlineStr">
        <is>
          <t>㎥/ｈ</t>
        </is>
      </c>
      <c r="G149" s="454" t="n"/>
      <c r="H149" s="454" t="n"/>
      <c r="I149" s="455" t="n"/>
      <c r="J149" s="454" t="n"/>
      <c r="K149" s="454" t="n"/>
      <c r="L149" s="9" t="n"/>
      <c r="M149" s="9" t="n"/>
      <c r="N149" s="9" t="n"/>
      <c r="O149" s="9" t="n"/>
      <c r="P149" s="9" t="n"/>
      <c r="Q149" s="9" t="n"/>
      <c r="R149" s="9" t="n"/>
    </row>
    <row r="150" ht="16.5" customHeight="1">
      <c r="A150" s="679" t="n"/>
      <c r="B150" s="590" t="n"/>
      <c r="C150" s="591" t="n"/>
      <c r="D150" s="772" t="inlineStr">
        <is>
          <t>流量計積算計読み</t>
        </is>
      </c>
      <c r="E150" s="608" t="n"/>
      <c r="F150" s="449" t="inlineStr">
        <is>
          <t>㎥</t>
        </is>
      </c>
      <c r="G150" s="957" t="n"/>
      <c r="H150" s="957" t="n"/>
      <c r="I150" s="958" t="n"/>
      <c r="J150" s="957" t="n"/>
      <c r="K150" s="959" t="n"/>
      <c r="L150" s="9" t="n"/>
      <c r="M150" s="9" t="n"/>
      <c r="N150" s="9" t="n"/>
      <c r="O150" s="9" t="n"/>
      <c r="P150" s="9" t="n"/>
      <c r="Q150" s="9" t="n"/>
      <c r="R150" s="9" t="n"/>
    </row>
    <row r="151" ht="16.5" customHeight="1">
      <c r="A151" s="679" t="n"/>
      <c r="B151" s="767" t="inlineStr">
        <is>
          <t>Nｏ．２返送汚泥流量計</t>
        </is>
      </c>
      <c r="C151" s="587" t="n"/>
      <c r="D151" s="773" t="inlineStr">
        <is>
          <t>外観の確認</t>
        </is>
      </c>
      <c r="E151" s="950" t="n"/>
      <c r="F151" s="445" t="n"/>
      <c r="G151" s="333" t="n"/>
      <c r="H151" s="333" t="n"/>
      <c r="I151" s="332" t="n"/>
      <c r="J151" s="333" t="n"/>
      <c r="K151" s="333" t="n"/>
      <c r="L151" s="9" t="n"/>
      <c r="M151" s="9" t="n"/>
      <c r="N151" s="9" t="n"/>
      <c r="O151" s="9" t="n"/>
      <c r="P151" s="9" t="n"/>
      <c r="Q151" s="9" t="n"/>
      <c r="R151" s="9" t="n"/>
    </row>
    <row r="152" ht="16.5" customHeight="1">
      <c r="A152" s="679" t="n"/>
      <c r="B152" s="613" t="n"/>
      <c r="C152" s="602" t="n"/>
      <c r="D152" s="771" t="inlineStr">
        <is>
          <t>指示状況の確認</t>
        </is>
      </c>
      <c r="E152" s="641" t="n"/>
      <c r="F152" s="459" t="n"/>
      <c r="G152" s="447" t="n"/>
      <c r="H152" s="447" t="n"/>
      <c r="I152" s="448" t="n"/>
      <c r="J152" s="447" t="n"/>
      <c r="K152" s="447" t="n"/>
      <c r="L152" s="9" t="n"/>
      <c r="M152" s="9" t="n"/>
      <c r="N152" s="9" t="n"/>
      <c r="O152" s="9" t="n"/>
      <c r="P152" s="9" t="n"/>
      <c r="Q152" s="9" t="n"/>
      <c r="R152" s="9" t="n"/>
    </row>
    <row r="153" ht="16.5" customHeight="1">
      <c r="A153" s="679" t="n"/>
      <c r="B153" s="613" t="n"/>
      <c r="C153" s="602" t="n"/>
      <c r="D153" s="771" t="inlineStr">
        <is>
          <t>流量計の読み</t>
        </is>
      </c>
      <c r="E153" s="641" t="n"/>
      <c r="F153" s="459" t="inlineStr">
        <is>
          <t>㎥/ｈ</t>
        </is>
      </c>
      <c r="G153" s="466" t="n"/>
      <c r="H153" s="466" t="n"/>
      <c r="I153" s="467" t="n"/>
      <c r="J153" s="466" t="n"/>
      <c r="K153" s="466" t="n"/>
      <c r="L153" s="9" t="n"/>
      <c r="M153" s="9" t="n"/>
      <c r="N153" s="9" t="n"/>
      <c r="O153" s="9" t="n"/>
      <c r="P153" s="9" t="n"/>
      <c r="Q153" s="9" t="n"/>
      <c r="R153" s="9" t="n"/>
    </row>
    <row r="154" ht="16.5" customHeight="1">
      <c r="A154" s="679" t="n"/>
      <c r="B154" s="590" t="n"/>
      <c r="C154" s="591" t="n"/>
      <c r="D154" s="772" t="inlineStr">
        <is>
          <t>流量計積算計読み</t>
        </is>
      </c>
      <c r="E154" s="608" t="n"/>
      <c r="F154" s="449" t="inlineStr">
        <is>
          <t>㎥</t>
        </is>
      </c>
      <c r="G154" s="960" t="n"/>
      <c r="H154" s="960" t="n"/>
      <c r="I154" s="961" t="n"/>
      <c r="J154" s="960" t="n"/>
      <c r="K154" s="960" t="n"/>
      <c r="L154" s="9" t="n"/>
      <c r="M154" s="9" t="n"/>
      <c r="N154" s="9" t="n"/>
      <c r="O154" s="9" t="n"/>
      <c r="P154" s="9" t="n"/>
      <c r="Q154" s="9" t="n"/>
      <c r="R154" s="9" t="n"/>
    </row>
    <row r="155" ht="16.5" customHeight="1">
      <c r="A155" s="679" t="n"/>
      <c r="B155" s="782" t="inlineStr">
        <is>
          <t>余剰汚泥流量計</t>
        </is>
      </c>
      <c r="C155" s="587" t="n"/>
      <c r="D155" s="773" t="inlineStr">
        <is>
          <t>外観の確認</t>
        </is>
      </c>
      <c r="E155" s="950" t="n"/>
      <c r="F155" s="445" t="n"/>
      <c r="G155" s="333" t="n"/>
      <c r="H155" s="333" t="n"/>
      <c r="I155" s="332" t="n"/>
      <c r="J155" s="333" t="n"/>
      <c r="K155" s="333" t="n"/>
      <c r="L155" s="9" t="n"/>
      <c r="M155" s="9" t="n"/>
      <c r="N155" s="9" t="n"/>
      <c r="O155" s="9" t="n"/>
      <c r="P155" s="9" t="n"/>
      <c r="Q155" s="9" t="n"/>
      <c r="R155" s="9" t="n"/>
    </row>
    <row r="156" ht="16.5" customHeight="1">
      <c r="A156" s="679" t="n"/>
      <c r="B156" s="613" t="n"/>
      <c r="C156" s="602" t="n"/>
      <c r="D156" s="771" t="inlineStr">
        <is>
          <t>指示状況の確認</t>
        </is>
      </c>
      <c r="E156" s="641" t="n"/>
      <c r="F156" s="459" t="n"/>
      <c r="G156" s="447" t="n"/>
      <c r="H156" s="447" t="n"/>
      <c r="I156" s="448" t="n"/>
      <c r="J156" s="447" t="n"/>
      <c r="K156" s="447" t="n"/>
      <c r="L156" s="9" t="n"/>
      <c r="M156" s="9" t="n"/>
      <c r="N156" s="9" t="n"/>
      <c r="O156" s="9" t="n"/>
      <c r="P156" s="9" t="n"/>
      <c r="Q156" s="9" t="n"/>
      <c r="R156" s="9" t="n"/>
    </row>
    <row r="157" ht="16.5" customHeight="1">
      <c r="A157" s="679" t="n"/>
      <c r="B157" s="613" t="n"/>
      <c r="C157" s="602" t="n"/>
      <c r="D157" s="766" t="inlineStr">
        <is>
          <t>No.１余剰汚泥ポンプ流量計読み</t>
        </is>
      </c>
      <c r="E157" s="577" t="n"/>
      <c r="F157" s="459" t="inlineStr">
        <is>
          <t>㎥/ｈ</t>
        </is>
      </c>
      <c r="G157" s="460" t="n"/>
      <c r="H157" s="460" t="n"/>
      <c r="I157" s="461" t="n"/>
      <c r="J157" s="460" t="n"/>
      <c r="K157" s="460" t="n"/>
      <c r="L157" s="9" t="n"/>
      <c r="M157" s="9" t="n"/>
      <c r="N157" s="9" t="n"/>
      <c r="O157" s="9" t="n"/>
      <c r="P157" s="9" t="n"/>
      <c r="Q157" s="9" t="n"/>
      <c r="R157" s="9" t="n"/>
    </row>
    <row r="158" ht="16.5" customHeight="1">
      <c r="A158" s="679" t="n"/>
      <c r="B158" s="613" t="n"/>
      <c r="C158" s="602" t="n"/>
      <c r="D158" s="770" t="inlineStr">
        <is>
          <t>No.２余剰汚泥ポンプ流量計読み</t>
        </is>
      </c>
      <c r="E158" s="666" t="n"/>
      <c r="F158" s="459" t="inlineStr">
        <is>
          <t>㎥/ｈ</t>
        </is>
      </c>
      <c r="G158" s="460" t="n"/>
      <c r="H158" s="460" t="n"/>
      <c r="I158" s="461" t="n"/>
      <c r="J158" s="460" t="n"/>
      <c r="K158" s="460" t="n"/>
      <c r="L158" s="9" t="n"/>
      <c r="M158" s="9" t="n"/>
      <c r="N158" s="9" t="n"/>
      <c r="O158" s="9" t="n"/>
      <c r="P158" s="9" t="n"/>
      <c r="Q158" s="9" t="n"/>
      <c r="R158" s="9" t="n"/>
    </row>
    <row r="159" ht="16.5" customHeight="1">
      <c r="A159" s="679" t="n"/>
      <c r="B159" s="763" t="inlineStr">
        <is>
          <t>放流流量計</t>
        </is>
      </c>
      <c r="C159" s="587" t="n"/>
      <c r="D159" s="758" t="inlineStr">
        <is>
          <t>外観の確認</t>
        </is>
      </c>
      <c r="E159" s="583" t="n"/>
      <c r="F159" s="445" t="n"/>
      <c r="G159" s="333" t="n"/>
      <c r="H159" s="333" t="n"/>
      <c r="I159" s="332" t="n"/>
      <c r="J159" s="333" t="n"/>
      <c r="K159" s="333" t="n"/>
      <c r="L159" s="9" t="n"/>
      <c r="M159" s="9" t="n"/>
      <c r="N159" s="9" t="n"/>
      <c r="O159" s="9" t="n"/>
      <c r="P159" s="9" t="n"/>
      <c r="Q159" s="9" t="n"/>
      <c r="R159" s="9" t="n"/>
    </row>
    <row r="160" ht="16.5" customHeight="1">
      <c r="A160" s="679" t="n"/>
      <c r="B160" s="613" t="n"/>
      <c r="C160" s="602" t="n"/>
      <c r="D160" s="757" t="inlineStr">
        <is>
          <t>指示状況の確認</t>
        </is>
      </c>
      <c r="E160" s="577" t="n"/>
      <c r="F160" s="459" t="n"/>
      <c r="G160" s="447" t="n"/>
      <c r="H160" s="447" t="n"/>
      <c r="I160" s="448" t="n"/>
      <c r="J160" s="447" t="n"/>
      <c r="K160" s="447" t="n"/>
      <c r="L160" s="9" t="n"/>
      <c r="M160" s="9" t="n"/>
      <c r="N160" s="9" t="n"/>
      <c r="O160" s="9" t="n"/>
      <c r="P160" s="9" t="n"/>
      <c r="Q160" s="9" t="n"/>
      <c r="R160" s="9" t="n"/>
    </row>
    <row r="161" ht="16.5" customHeight="1">
      <c r="A161" s="679" t="n"/>
      <c r="B161" s="613" t="n"/>
      <c r="C161" s="602" t="n"/>
      <c r="D161" s="757" t="inlineStr">
        <is>
          <t>流量計の読み</t>
        </is>
      </c>
      <c r="E161" s="577" t="n"/>
      <c r="F161" s="459" t="inlineStr">
        <is>
          <t>㎥/ｈ</t>
        </is>
      </c>
      <c r="G161" s="454" t="n"/>
      <c r="H161" s="454" t="n"/>
      <c r="I161" s="455" t="n"/>
      <c r="J161" s="454" t="n"/>
      <c r="K161" s="454" t="n"/>
      <c r="L161" s="9" t="n"/>
      <c r="M161" s="9" t="n"/>
      <c r="N161" s="9" t="n"/>
      <c r="O161" s="9" t="n"/>
      <c r="P161" s="9" t="n"/>
      <c r="Q161" s="9" t="n"/>
      <c r="R161" s="9" t="n"/>
    </row>
    <row r="162" ht="16.5" customHeight="1">
      <c r="A162" s="679" t="n"/>
      <c r="B162" s="590" t="n"/>
      <c r="C162" s="591" t="n"/>
      <c r="D162" s="772" t="inlineStr">
        <is>
          <t>流量計積算の読み</t>
        </is>
      </c>
      <c r="E162" s="608" t="n"/>
      <c r="F162" s="319" t="inlineStr">
        <is>
          <t>㎥</t>
        </is>
      </c>
      <c r="G162" s="957" t="n"/>
      <c r="H162" s="957" t="n"/>
      <c r="I162" s="958" t="n"/>
      <c r="J162" s="957" t="n"/>
      <c r="K162" s="959" t="n"/>
      <c r="L162" s="9" t="n"/>
      <c r="M162" s="9" t="n"/>
      <c r="N162" s="9" t="n"/>
      <c r="O162" s="9" t="n"/>
      <c r="P162" s="9" t="n"/>
      <c r="Q162" s="9" t="n"/>
      <c r="R162" s="9" t="n"/>
    </row>
    <row r="163" ht="16.5" customHeight="1">
      <c r="A163" s="679" t="n"/>
      <c r="B163" s="778" t="inlineStr">
        <is>
          <t>汚濁負荷量計</t>
        </is>
      </c>
      <c r="C163" s="587" t="n"/>
      <c r="D163" s="758" t="inlineStr">
        <is>
          <t>外観の確認</t>
        </is>
      </c>
      <c r="E163" s="583" t="n"/>
      <c r="F163" s="445" t="n"/>
      <c r="G163" s="329" t="n"/>
      <c r="H163" s="329" t="n"/>
      <c r="I163" s="328" t="n"/>
      <c r="J163" s="329" t="n"/>
      <c r="K163" s="329" t="n"/>
      <c r="L163" s="9" t="n"/>
      <c r="M163" s="9" t="n"/>
      <c r="N163" s="9" t="n"/>
      <c r="O163" s="9" t="n"/>
      <c r="P163" s="9" t="n"/>
      <c r="Q163" s="9" t="n"/>
      <c r="R163" s="9" t="n"/>
    </row>
    <row r="164" ht="16.5" customHeight="1">
      <c r="A164" s="679" t="n"/>
      <c r="B164" s="613" t="n"/>
      <c r="C164" s="602" t="n"/>
      <c r="D164" s="757" t="inlineStr">
        <is>
          <t>指示状況の確認</t>
        </is>
      </c>
      <c r="E164" s="577" t="n"/>
      <c r="F164" s="459" t="n"/>
      <c r="G164" s="447" t="n"/>
      <c r="H164" s="447" t="n"/>
      <c r="I164" s="448" t="n"/>
      <c r="J164" s="447" t="n"/>
      <c r="K164" s="447" t="n"/>
      <c r="L164" s="9" t="n"/>
      <c r="M164" s="9" t="n"/>
      <c r="N164" s="9" t="n"/>
      <c r="O164" s="9" t="n"/>
      <c r="P164" s="9" t="n"/>
      <c r="Q164" s="9" t="n"/>
      <c r="R164" s="9" t="n"/>
    </row>
    <row r="165" ht="16.5" customHeight="1">
      <c r="A165" s="679" t="n"/>
      <c r="B165" s="779" t="inlineStr">
        <is>
          <t>（放流水ＵＶ）</t>
        </is>
      </c>
      <c r="C165" s="602" t="n"/>
      <c r="D165" s="757" t="inlineStr">
        <is>
          <t>ＵＶ値</t>
        </is>
      </c>
      <c r="E165" s="577" t="n"/>
      <c r="F165" s="459" t="inlineStr">
        <is>
          <t>Abs</t>
        </is>
      </c>
      <c r="G165" s="466" t="n"/>
      <c r="H165" s="466" t="n"/>
      <c r="I165" s="467" t="n"/>
      <c r="J165" s="466" t="n"/>
      <c r="K165" s="466" t="n"/>
      <c r="L165" s="9" t="n"/>
      <c r="M165" s="9" t="n"/>
      <c r="N165" s="9" t="n"/>
      <c r="O165" s="9" t="n"/>
      <c r="P165" s="9" t="n"/>
      <c r="Q165" s="9" t="n"/>
      <c r="R165" s="9" t="n"/>
    </row>
    <row r="166" ht="16.5" customHeight="1">
      <c r="A166" s="506" t="n"/>
      <c r="B166" s="590" t="n"/>
      <c r="C166" s="591" t="n"/>
      <c r="D166" s="772" t="inlineStr">
        <is>
          <t>ＣＯＤ値</t>
        </is>
      </c>
      <c r="E166" s="608" t="n"/>
      <c r="F166" s="319" t="inlineStr">
        <is>
          <t>㎎/ℓ</t>
        </is>
      </c>
      <c r="G166" s="955" t="n"/>
      <c r="H166" s="955" t="n"/>
      <c r="I166" s="956" t="n"/>
      <c r="J166" s="955" t="n"/>
      <c r="K166" s="955" t="n"/>
      <c r="L166" s="9" t="n"/>
      <c r="M166" s="9" t="n"/>
      <c r="N166" s="9" t="n"/>
      <c r="O166" s="9" t="n"/>
      <c r="P166" s="9" t="n"/>
      <c r="Q166" s="9" t="n"/>
      <c r="R166" s="9" t="n"/>
    </row>
    <row r="167" ht="13.5" customHeight="1">
      <c r="A167" s="781" t="inlineStr">
        <is>
          <t>備考</t>
        </is>
      </c>
      <c r="B167" s="470" t="n"/>
      <c r="C167" s="471" t="n"/>
      <c r="D167" s="471" t="n"/>
      <c r="E167" s="471" t="n"/>
      <c r="F167" s="471" t="n"/>
      <c r="G167" s="492" t="n"/>
      <c r="H167" s="492" t="n"/>
      <c r="I167" s="492" t="n"/>
      <c r="J167" s="492" t="n"/>
      <c r="K167" s="493" t="n"/>
      <c r="L167" s="9" t="n"/>
      <c r="M167" s="9" t="n"/>
      <c r="N167" s="9" t="n"/>
      <c r="O167" s="9" t="n"/>
      <c r="P167" s="9" t="n"/>
      <c r="Q167" s="9" t="n"/>
      <c r="R167" s="9" t="n"/>
    </row>
    <row r="168" ht="69.75" customHeight="1">
      <c r="A168" s="626" t="n"/>
      <c r="B168" s="494" t="n"/>
      <c r="C168" s="495" t="n"/>
      <c r="D168" s="495" t="n"/>
      <c r="E168" s="495" t="n"/>
      <c r="F168" s="495" t="n"/>
      <c r="G168" s="496" t="n"/>
      <c r="H168" s="496" t="n"/>
      <c r="I168" s="496" t="n"/>
      <c r="J168" s="496" t="n"/>
      <c r="K168" s="497" t="n"/>
      <c r="L168" s="9" t="n"/>
      <c r="M168" s="9" t="n"/>
      <c r="N168" s="9" t="n"/>
      <c r="O168" s="9" t="n"/>
      <c r="P168" s="9" t="n"/>
      <c r="Q168" s="9" t="n"/>
      <c r="R168" s="9" t="n"/>
    </row>
    <row r="169" ht="21" customHeight="1">
      <c r="A169" s="299" t="inlineStr">
        <is>
          <t xml:space="preserve">　電気設備日常点検（３/３）</t>
        </is>
      </c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355">
        <f>K1</f>
        <v/>
      </c>
      <c r="L169" s="9" t="n"/>
      <c r="M169" s="9" t="n"/>
      <c r="N169" s="9" t="n"/>
      <c r="O169" s="9" t="n"/>
      <c r="P169" s="9" t="n"/>
      <c r="Q169" s="9" t="n"/>
      <c r="R169" s="9" t="n"/>
    </row>
    <row r="170" ht="16.5" customHeight="1">
      <c r="A170" s="768" t="n"/>
      <c r="B170" s="765" t="inlineStr">
        <is>
          <t>機器名</t>
        </is>
      </c>
      <c r="C170" s="587" t="n"/>
      <c r="D170" s="765" t="inlineStr">
        <is>
          <t>点　　検　　者　　氏　　名</t>
        </is>
      </c>
      <c r="E170" s="574" t="n"/>
      <c r="F170" s="580" t="n"/>
      <c r="G170" s="309" t="n"/>
      <c r="H170" s="309" t="n"/>
      <c r="I170" s="308" t="n"/>
      <c r="J170" s="309" t="n"/>
      <c r="K170" s="309" t="n"/>
      <c r="L170" s="9" t="n"/>
      <c r="M170" s="9" t="n"/>
      <c r="N170" s="9" t="n"/>
      <c r="O170" s="9" t="n"/>
      <c r="P170" s="9" t="n"/>
      <c r="Q170" s="9" t="n"/>
      <c r="R170" s="9" t="n"/>
    </row>
    <row r="171" ht="16.5" customHeight="1">
      <c r="A171" s="626" t="n"/>
      <c r="B171" s="590" t="n"/>
      <c r="C171" s="591" t="n"/>
      <c r="D171" s="765" t="inlineStr">
        <is>
          <t>点　　　検　　　内　　　容</t>
        </is>
      </c>
      <c r="E171" s="574" t="n"/>
      <c r="F171" s="580" t="n"/>
      <c r="G171" s="948" t="n"/>
      <c r="H171" s="948" t="n"/>
      <c r="I171" s="949" t="n"/>
      <c r="J171" s="948" t="n"/>
      <c r="K171" s="948" t="n"/>
      <c r="L171" s="9" t="n"/>
      <c r="M171" s="9" t="n"/>
      <c r="N171" s="9" t="n"/>
      <c r="O171" s="9" t="n"/>
      <c r="P171" s="9" t="n"/>
      <c r="Q171" s="9" t="n"/>
      <c r="R171" s="9" t="n"/>
    </row>
    <row r="172" ht="16.5" customHeight="1">
      <c r="A172" s="759" t="inlineStr">
        <is>
          <t>計装設備</t>
        </is>
      </c>
      <c r="B172" s="763" t="inlineStr">
        <is>
          <t>全窒素・全燐計</t>
        </is>
      </c>
      <c r="C172" s="587" t="n"/>
      <c r="D172" s="758" t="inlineStr">
        <is>
          <t>外観の確認</t>
        </is>
      </c>
      <c r="E172" s="583" t="n"/>
      <c r="F172" s="445" t="n"/>
      <c r="G172" s="333" t="n"/>
      <c r="H172" s="333" t="n"/>
      <c r="I172" s="332" t="n"/>
      <c r="J172" s="333" t="n"/>
      <c r="K172" s="333" t="n"/>
      <c r="L172" s="9" t="n"/>
      <c r="M172" s="9" t="n"/>
      <c r="N172" s="9" t="n"/>
      <c r="O172" s="9" t="n"/>
      <c r="P172" s="9" t="n"/>
      <c r="Q172" s="9" t="n"/>
      <c r="R172" s="9" t="n"/>
    </row>
    <row r="173" ht="16.5" customHeight="1">
      <c r="A173" s="679" t="n"/>
      <c r="B173" s="613" t="n"/>
      <c r="C173" s="602" t="n"/>
      <c r="D173" s="757" t="inlineStr">
        <is>
          <t>指示状況の確認</t>
        </is>
      </c>
      <c r="E173" s="577" t="n"/>
      <c r="F173" s="459" t="n"/>
      <c r="G173" s="447" t="n"/>
      <c r="H173" s="447" t="n"/>
      <c r="I173" s="448" t="n"/>
      <c r="J173" s="447" t="n"/>
      <c r="K173" s="447" t="n"/>
      <c r="L173" s="9" t="n"/>
      <c r="M173" s="9" t="n"/>
      <c r="N173" s="9" t="n"/>
      <c r="O173" s="9" t="n"/>
      <c r="P173" s="9" t="n"/>
      <c r="Q173" s="9" t="n"/>
      <c r="R173" s="9" t="n"/>
    </row>
    <row r="174" ht="16.5" customHeight="1">
      <c r="A174" s="679" t="n"/>
      <c r="B174" s="613" t="n"/>
      <c r="C174" s="602" t="n"/>
      <c r="D174" s="757" t="inlineStr">
        <is>
          <t>計器読み（全窒素）</t>
        </is>
      </c>
      <c r="E174" s="577" t="n"/>
      <c r="F174" s="459" t="inlineStr">
        <is>
          <t>㎎/ℓ</t>
        </is>
      </c>
      <c r="G174" s="466" t="n"/>
      <c r="H174" s="466" t="n"/>
      <c r="I174" s="467" t="n"/>
      <c r="J174" s="466" t="n"/>
      <c r="K174" s="466" t="n"/>
      <c r="L174" s="9" t="n"/>
      <c r="M174" s="9" t="n"/>
      <c r="N174" s="9" t="n"/>
      <c r="O174" s="9" t="n"/>
      <c r="P174" s="9" t="n"/>
      <c r="Q174" s="9" t="n"/>
      <c r="R174" s="9" t="n"/>
    </row>
    <row r="175" ht="16.5" customHeight="1">
      <c r="A175" s="679" t="n"/>
      <c r="B175" s="590" t="n"/>
      <c r="C175" s="591" t="n"/>
      <c r="D175" s="772" t="inlineStr">
        <is>
          <t>計器読み（全りん）</t>
        </is>
      </c>
      <c r="E175" s="608" t="n"/>
      <c r="F175" s="449" t="inlineStr">
        <is>
          <t>㎎/ℓ</t>
        </is>
      </c>
      <c r="G175" s="450" t="n"/>
      <c r="H175" s="450" t="n"/>
      <c r="I175" s="451" t="n"/>
      <c r="J175" s="450" t="n"/>
      <c r="K175" s="450" t="n"/>
      <c r="L175" s="9" t="n"/>
      <c r="M175" s="9" t="n"/>
      <c r="N175" s="9" t="n"/>
      <c r="O175" s="9" t="n"/>
      <c r="P175" s="9" t="n"/>
      <c r="Q175" s="9" t="n"/>
      <c r="R175" s="9" t="n"/>
    </row>
    <row r="176" ht="16.5" customHeight="1">
      <c r="A176" s="679" t="n"/>
      <c r="B176" s="767" t="inlineStr">
        <is>
          <t>圧力式液位計</t>
        </is>
      </c>
      <c r="C176" s="587" t="n"/>
      <c r="D176" s="758" t="inlineStr">
        <is>
          <t>外観の確認</t>
        </is>
      </c>
      <c r="E176" s="482" t="n"/>
      <c r="F176" s="445" t="n"/>
      <c r="G176" s="333" t="n"/>
      <c r="H176" s="333" t="n"/>
      <c r="I176" s="332" t="n"/>
      <c r="J176" s="333" t="n"/>
      <c r="K176" s="333" t="n"/>
      <c r="L176" s="9" t="n"/>
      <c r="M176" s="9" t="n"/>
      <c r="N176" s="9" t="n"/>
      <c r="O176" s="9" t="n"/>
      <c r="P176" s="9" t="n"/>
      <c r="Q176" s="9" t="n"/>
      <c r="R176" s="9" t="n"/>
    </row>
    <row r="177" ht="16.5" customHeight="1">
      <c r="A177" s="679" t="n"/>
      <c r="B177" s="613" t="n"/>
      <c r="C177" s="602" t="n"/>
      <c r="D177" s="757" t="inlineStr">
        <is>
          <t>指示状況の確認</t>
        </is>
      </c>
      <c r="E177" s="483" t="n"/>
      <c r="F177" s="459" t="n"/>
      <c r="G177" s="447" t="n"/>
      <c r="H177" s="447" t="n"/>
      <c r="I177" s="448" t="n"/>
      <c r="J177" s="447" t="n"/>
      <c r="K177" s="447" t="n"/>
      <c r="L177" s="9" t="n"/>
      <c r="M177" s="9" t="n"/>
      <c r="N177" s="9" t="n"/>
      <c r="O177" s="9" t="n"/>
      <c r="P177" s="9" t="n"/>
      <c r="Q177" s="9" t="n"/>
      <c r="R177" s="9" t="n"/>
    </row>
    <row r="178" ht="16.5" customHeight="1">
      <c r="A178" s="626" t="n"/>
      <c r="B178" s="590" t="n"/>
      <c r="C178" s="591" t="n"/>
      <c r="D178" s="772" t="inlineStr">
        <is>
          <t>機器指示地の記録</t>
        </is>
      </c>
      <c r="E178" s="484" t="n"/>
      <c r="F178" s="449" t="inlineStr">
        <is>
          <t>ｍ</t>
        </is>
      </c>
      <c r="G178" s="946" t="n"/>
      <c r="H178" s="946" t="n"/>
      <c r="I178" s="947" t="n"/>
      <c r="J178" s="946" t="n"/>
      <c r="K178" s="946" t="n"/>
      <c r="L178" s="9" t="n"/>
      <c r="M178" s="9" t="n"/>
      <c r="N178" s="9" t="n"/>
      <c r="O178" s="9" t="n"/>
      <c r="P178" s="9" t="n"/>
      <c r="Q178" s="9" t="n"/>
      <c r="R178" s="9" t="n"/>
    </row>
    <row r="179" ht="16.5" customHeight="1">
      <c r="A179" s="780" t="inlineStr">
        <is>
          <t>発電機設備</t>
        </is>
      </c>
      <c r="B179" s="776" t="inlineStr">
        <is>
          <t>発電機盤</t>
        </is>
      </c>
      <c r="C179" s="580" t="n"/>
      <c r="D179" s="769" t="inlineStr">
        <is>
          <t>外観の確認</t>
        </is>
      </c>
      <c r="E179" s="574" t="n"/>
      <c r="F179" s="307" t="n"/>
      <c r="G179" s="309" t="n"/>
      <c r="H179" s="309" t="n"/>
      <c r="I179" s="308" t="n"/>
      <c r="J179" s="309" t="n"/>
      <c r="K179" s="309" t="n"/>
      <c r="L179" s="9" t="n"/>
      <c r="M179" s="9" t="n"/>
      <c r="N179" s="9" t="n"/>
      <c r="O179" s="9" t="n"/>
      <c r="P179" s="9" t="n"/>
      <c r="Q179" s="9" t="n"/>
      <c r="R179" s="9" t="n"/>
    </row>
    <row r="180" ht="16.5" customHeight="1">
      <c r="A180" s="679" t="n"/>
      <c r="B180" s="776" t="inlineStr">
        <is>
          <t>エンジン</t>
        </is>
      </c>
      <c r="C180" s="580" t="n"/>
      <c r="D180" s="769" t="inlineStr">
        <is>
          <t>外観の確認</t>
        </is>
      </c>
      <c r="E180" s="574" t="n"/>
      <c r="F180" s="307" t="n"/>
      <c r="G180" s="333" t="n"/>
      <c r="H180" s="333" t="n"/>
      <c r="I180" s="332" t="n"/>
      <c r="J180" s="333" t="n"/>
      <c r="K180" s="333" t="n"/>
      <c r="L180" s="9" t="n"/>
      <c r="M180" s="9" t="n"/>
      <c r="N180" s="9" t="n"/>
      <c r="O180" s="9" t="n"/>
      <c r="P180" s="9" t="n"/>
      <c r="Q180" s="9" t="n"/>
      <c r="R180" s="9" t="n"/>
    </row>
    <row r="181" ht="16.5" customHeight="1">
      <c r="A181" s="679" t="n"/>
      <c r="B181" s="776" t="inlineStr">
        <is>
          <t>燃料タンク</t>
        </is>
      </c>
      <c r="C181" s="587" t="n"/>
      <c r="D181" s="758" t="inlineStr">
        <is>
          <t>外観の確認</t>
        </is>
      </c>
      <c r="E181" s="583" t="n"/>
      <c r="F181" s="445" t="n"/>
      <c r="G181" s="333" t="n"/>
      <c r="H181" s="333" t="n"/>
      <c r="I181" s="332" t="n"/>
      <c r="J181" s="333" t="n"/>
      <c r="K181" s="333" t="n"/>
      <c r="L181" s="9" t="n"/>
      <c r="M181" s="9" t="n"/>
      <c r="N181" s="9" t="n"/>
      <c r="O181" s="9" t="n"/>
      <c r="P181" s="9" t="n"/>
      <c r="Q181" s="9" t="n"/>
      <c r="R181" s="9" t="n"/>
    </row>
    <row r="182" ht="16.5" customHeight="1">
      <c r="A182" s="679" t="n"/>
      <c r="B182" s="598" t="n"/>
      <c r="C182" s="591" t="n"/>
      <c r="D182" s="772" t="inlineStr">
        <is>
          <t>残量の値</t>
        </is>
      </c>
      <c r="E182" s="608" t="n"/>
      <c r="F182" s="449" t="inlineStr">
        <is>
          <t>ℓ</t>
        </is>
      </c>
      <c r="G182" s="485" t="n"/>
      <c r="H182" s="485" t="n"/>
      <c r="I182" s="486" t="n"/>
      <c r="J182" s="485" t="n"/>
      <c r="K182" s="485" t="n"/>
      <c r="L182" s="9" t="n"/>
      <c r="M182" s="9" t="n"/>
      <c r="N182" s="9" t="n"/>
      <c r="O182" s="9" t="n"/>
      <c r="P182" s="9" t="n"/>
      <c r="Q182" s="9" t="n"/>
      <c r="R182" s="9" t="n"/>
    </row>
    <row r="183" ht="16.5" customHeight="1">
      <c r="A183" s="759" t="inlineStr">
        <is>
          <t>他</t>
        </is>
      </c>
      <c r="B183" s="763" t="inlineStr">
        <is>
          <t>通報装置</t>
        </is>
      </c>
      <c r="C183" s="580" t="n"/>
      <c r="D183" s="769" t="inlineStr">
        <is>
          <t>通報状態の確認</t>
        </is>
      </c>
      <c r="E183" s="574" t="n"/>
      <c r="F183" s="307" t="n"/>
      <c r="G183" s="309" t="n"/>
      <c r="H183" s="309" t="n"/>
      <c r="I183" s="308" t="n"/>
      <c r="J183" s="309" t="n"/>
      <c r="K183" s="309" t="n"/>
      <c r="L183" s="9" t="n"/>
      <c r="M183" s="9" t="n"/>
      <c r="N183" s="9" t="n"/>
      <c r="O183" s="9" t="n"/>
      <c r="P183" s="9" t="n"/>
      <c r="Q183" s="9" t="n"/>
      <c r="R183" s="9" t="n"/>
    </row>
    <row r="184" ht="16.5" customHeight="1">
      <c r="A184" s="487" t="n"/>
      <c r="B184" s="747" t="inlineStr">
        <is>
          <t>○：良　　△：要注意　　×要修理</t>
        </is>
      </c>
      <c r="C184" s="747" t="n"/>
      <c r="D184" s="747" t="n"/>
      <c r="E184" s="747" t="n"/>
      <c r="F184" s="488" t="n"/>
      <c r="G184" s="489" t="n"/>
      <c r="H184" s="489" t="n"/>
      <c r="I184" s="489" t="n"/>
      <c r="J184" s="507" t="n"/>
      <c r="K184" s="489" t="n"/>
      <c r="L184" s="9" t="n"/>
      <c r="M184" s="9" t="n"/>
      <c r="N184" s="9" t="n"/>
      <c r="O184" s="9" t="n"/>
      <c r="P184" s="9" t="n"/>
      <c r="Q184" s="9" t="n"/>
      <c r="R184" s="9" t="n"/>
    </row>
    <row r="185" ht="15.75" customHeight="1">
      <c r="A185" s="759" t="inlineStr">
        <is>
          <t>備　　　　　考</t>
        </is>
      </c>
      <c r="B185" s="470" t="n"/>
      <c r="C185" s="471" t="n"/>
      <c r="D185" s="471" t="n"/>
      <c r="E185" s="471" t="n"/>
      <c r="F185" s="471" t="n"/>
      <c r="G185" s="492" t="n"/>
      <c r="H185" s="492" t="n"/>
      <c r="I185" s="492" t="n"/>
      <c r="J185" s="476" t="n"/>
      <c r="K185" s="493" t="n"/>
      <c r="L185" s="9" t="n"/>
      <c r="M185" s="9" t="n"/>
      <c r="N185" s="9" t="n"/>
      <c r="O185" s="9" t="n"/>
      <c r="P185" s="9" t="n"/>
      <c r="Q185" s="9" t="n"/>
      <c r="R185" s="9" t="n"/>
    </row>
    <row r="186" ht="15.75" customHeight="1">
      <c r="A186" s="679" t="n"/>
      <c r="B186" s="474" t="n"/>
      <c r="C186" s="475" t="n"/>
      <c r="D186" s="475" t="n"/>
      <c r="E186" s="475" t="n"/>
      <c r="F186" s="475" t="n"/>
      <c r="G186" s="476" t="n"/>
      <c r="H186" s="476" t="n"/>
      <c r="I186" s="476" t="n"/>
      <c r="J186" s="476" t="n"/>
      <c r="K186" s="477" t="n"/>
      <c r="L186" s="9" t="n"/>
      <c r="M186" s="9" t="n"/>
      <c r="N186" s="9" t="n"/>
      <c r="O186" s="9" t="n"/>
      <c r="P186" s="9" t="n"/>
      <c r="Q186" s="9" t="n"/>
      <c r="R186" s="9" t="n"/>
    </row>
    <row r="187" ht="15.75" customHeight="1">
      <c r="A187" s="679" t="n"/>
      <c r="B187" s="474" t="n"/>
      <c r="C187" s="475" t="n"/>
      <c r="D187" s="475" t="n"/>
      <c r="E187" s="475" t="n"/>
      <c r="F187" s="475" t="n"/>
      <c r="G187" s="476" t="n"/>
      <c r="H187" s="476" t="n"/>
      <c r="I187" s="476" t="n"/>
      <c r="J187" s="476" t="n"/>
      <c r="K187" s="477" t="n"/>
      <c r="L187" s="9" t="n"/>
      <c r="M187" s="9" t="n"/>
      <c r="N187" s="9" t="n"/>
      <c r="O187" s="9" t="n"/>
      <c r="P187" s="9" t="n"/>
      <c r="Q187" s="9" t="n"/>
      <c r="R187" s="9" t="n"/>
    </row>
    <row r="188" ht="15.75" customHeight="1">
      <c r="A188" s="679" t="n"/>
      <c r="B188" s="474" t="n"/>
      <c r="C188" s="475" t="n"/>
      <c r="D188" s="475" t="n"/>
      <c r="E188" s="475" t="n"/>
      <c r="F188" s="475" t="n"/>
      <c r="G188" s="476" t="n"/>
      <c r="H188" s="476" t="n"/>
      <c r="I188" s="476" t="n"/>
      <c r="J188" s="476" t="n"/>
      <c r="K188" s="477" t="n"/>
      <c r="L188" s="9" t="n"/>
      <c r="M188" s="9" t="n"/>
      <c r="N188" s="9" t="n"/>
      <c r="O188" s="9" t="n"/>
      <c r="P188" s="9" t="n"/>
      <c r="Q188" s="9" t="n"/>
      <c r="R188" s="9" t="n"/>
    </row>
    <row r="189" ht="15.75" customHeight="1">
      <c r="A189" s="679" t="n"/>
      <c r="B189" s="474" t="n"/>
      <c r="C189" s="475" t="n"/>
      <c r="D189" s="475" t="n"/>
      <c r="E189" s="475" t="n"/>
      <c r="F189" s="475" t="n"/>
      <c r="G189" s="476" t="n"/>
      <c r="H189" s="476" t="n"/>
      <c r="I189" s="476" t="n"/>
      <c r="J189" s="476" t="n"/>
      <c r="K189" s="477" t="n"/>
      <c r="L189" s="9" t="n"/>
      <c r="M189" s="9" t="n"/>
      <c r="N189" s="9" t="n"/>
      <c r="O189" s="9" t="n"/>
      <c r="P189" s="9" t="n"/>
      <c r="Q189" s="9" t="n"/>
      <c r="R189" s="9" t="n"/>
    </row>
    <row r="190" ht="15.75" customHeight="1">
      <c r="A190" s="679" t="n"/>
      <c r="B190" s="474" t="n"/>
      <c r="C190" s="475" t="n"/>
      <c r="D190" s="475" t="n"/>
      <c r="E190" s="475" t="n"/>
      <c r="F190" s="475" t="n"/>
      <c r="G190" s="476" t="n"/>
      <c r="H190" s="476" t="n"/>
      <c r="I190" s="476" t="n"/>
      <c r="J190" s="476" t="n"/>
      <c r="K190" s="477" t="n"/>
      <c r="L190" s="9" t="n"/>
      <c r="M190" s="9" t="n"/>
      <c r="N190" s="9" t="n"/>
      <c r="O190" s="9" t="n"/>
      <c r="P190" s="9" t="n"/>
      <c r="Q190" s="9" t="n"/>
      <c r="R190" s="9" t="n"/>
    </row>
    <row r="191" ht="15.75" customHeight="1">
      <c r="A191" s="679" t="n"/>
      <c r="B191" s="474" t="n"/>
      <c r="C191" s="475" t="n"/>
      <c r="D191" s="475" t="n"/>
      <c r="E191" s="475" t="n"/>
      <c r="F191" s="475" t="n"/>
      <c r="G191" s="476" t="n"/>
      <c r="H191" s="476" t="n"/>
      <c r="I191" s="476" t="n"/>
      <c r="J191" s="476" t="n"/>
      <c r="K191" s="477" t="n"/>
      <c r="L191" s="9" t="n"/>
      <c r="M191" s="9" t="n"/>
      <c r="N191" s="9" t="n"/>
      <c r="O191" s="9" t="n"/>
      <c r="P191" s="9" t="n"/>
      <c r="Q191" s="9" t="n"/>
      <c r="R191" s="9" t="n"/>
    </row>
    <row r="192" ht="15.75" customHeight="1">
      <c r="A192" s="679" t="n"/>
      <c r="B192" s="474" t="n"/>
      <c r="C192" s="475" t="n"/>
      <c r="D192" s="475" t="n"/>
      <c r="E192" s="475" t="n"/>
      <c r="F192" s="475" t="n"/>
      <c r="G192" s="476" t="n"/>
      <c r="H192" s="476" t="n"/>
      <c r="I192" s="476" t="n"/>
      <c r="J192" s="476" t="n"/>
      <c r="K192" s="477" t="n"/>
      <c r="L192" s="9" t="n"/>
      <c r="M192" s="9" t="n"/>
      <c r="N192" s="9" t="n"/>
      <c r="O192" s="9" t="n"/>
      <c r="P192" s="9" t="n"/>
      <c r="Q192" s="9" t="n"/>
      <c r="R192" s="9" t="n"/>
    </row>
    <row r="193" ht="15.75" customHeight="1">
      <c r="A193" s="679" t="n"/>
      <c r="B193" s="474" t="n"/>
      <c r="C193" s="475" t="n"/>
      <c r="D193" s="475" t="n"/>
      <c r="E193" s="475" t="n"/>
      <c r="F193" s="475" t="n"/>
      <c r="G193" s="476" t="n"/>
      <c r="H193" s="476" t="n"/>
      <c r="I193" s="476" t="n"/>
      <c r="J193" s="476" t="n"/>
      <c r="K193" s="477" t="n"/>
      <c r="L193" s="9" t="n"/>
      <c r="M193" s="9" t="n"/>
      <c r="N193" s="9" t="n"/>
      <c r="O193" s="9" t="n"/>
      <c r="P193" s="9" t="n"/>
      <c r="Q193" s="9" t="n"/>
      <c r="R193" s="9" t="n"/>
    </row>
    <row r="194" ht="15.75" customHeight="1">
      <c r="A194" s="679" t="n"/>
      <c r="B194" s="474" t="n"/>
      <c r="C194" s="475" t="n"/>
      <c r="D194" s="475" t="n"/>
      <c r="E194" s="475" t="n"/>
      <c r="F194" s="475" t="n"/>
      <c r="G194" s="476" t="n"/>
      <c r="H194" s="476" t="n"/>
      <c r="I194" s="476" t="n"/>
      <c r="J194" s="476" t="n"/>
      <c r="K194" s="477" t="n"/>
      <c r="L194" s="9" t="n"/>
      <c r="M194" s="9" t="n"/>
      <c r="N194" s="9" t="n"/>
      <c r="O194" s="9" t="n"/>
      <c r="P194" s="9" t="n"/>
      <c r="Q194" s="9" t="n"/>
      <c r="R194" s="9" t="n"/>
    </row>
    <row r="195" ht="15.75" customHeight="1">
      <c r="A195" s="679" t="n"/>
      <c r="B195" s="474" t="n"/>
      <c r="C195" s="475" t="n"/>
      <c r="D195" s="475" t="n"/>
      <c r="E195" s="475" t="n"/>
      <c r="F195" s="475" t="n"/>
      <c r="G195" s="476" t="n"/>
      <c r="H195" s="476" t="n"/>
      <c r="I195" s="476" t="n"/>
      <c r="J195" s="476" t="n"/>
      <c r="K195" s="477" t="n"/>
      <c r="L195" s="9" t="n"/>
      <c r="M195" s="9" t="n"/>
      <c r="N195" s="9" t="n"/>
      <c r="O195" s="9" t="n"/>
      <c r="P195" s="9" t="n"/>
      <c r="Q195" s="9" t="n"/>
      <c r="R195" s="9" t="n"/>
    </row>
    <row r="196" ht="15.75" customHeight="1">
      <c r="A196" s="679" t="n"/>
      <c r="B196" s="474" t="n"/>
      <c r="C196" s="475" t="n"/>
      <c r="D196" s="475" t="n"/>
      <c r="E196" s="475" t="n"/>
      <c r="F196" s="475" t="n"/>
      <c r="G196" s="476" t="n"/>
      <c r="H196" s="476" t="n"/>
      <c r="I196" s="476" t="n"/>
      <c r="J196" s="476" t="n"/>
      <c r="K196" s="477" t="n"/>
      <c r="L196" s="9" t="n"/>
      <c r="M196" s="9" t="n"/>
      <c r="N196" s="9" t="n"/>
      <c r="O196" s="9" t="n"/>
      <c r="P196" s="9" t="n"/>
      <c r="Q196" s="9" t="n"/>
      <c r="R196" s="9" t="n"/>
    </row>
    <row r="197" ht="15.75" customHeight="1">
      <c r="A197" s="679" t="n"/>
      <c r="B197" s="474" t="n"/>
      <c r="C197" s="475" t="n"/>
      <c r="D197" s="475" t="n"/>
      <c r="E197" s="475" t="n"/>
      <c r="F197" s="475" t="n"/>
      <c r="G197" s="476" t="n"/>
      <c r="H197" s="476" t="n"/>
      <c r="I197" s="476" t="n"/>
      <c r="J197" s="476" t="n"/>
      <c r="K197" s="477" t="n"/>
      <c r="L197" s="9" t="n"/>
      <c r="M197" s="9" t="n"/>
      <c r="N197" s="9" t="n"/>
      <c r="O197" s="9" t="n"/>
      <c r="P197" s="9" t="n"/>
      <c r="Q197" s="9" t="n"/>
      <c r="R197" s="9" t="n"/>
    </row>
    <row r="198" ht="15.75" customHeight="1">
      <c r="A198" s="679" t="n"/>
      <c r="B198" s="474" t="n"/>
      <c r="C198" s="475" t="n"/>
      <c r="D198" s="475" t="n"/>
      <c r="E198" s="475" t="n"/>
      <c r="F198" s="475" t="n"/>
      <c r="G198" s="476" t="n"/>
      <c r="H198" s="476" t="n"/>
      <c r="I198" s="476" t="n"/>
      <c r="J198" s="476" t="n"/>
      <c r="K198" s="477" t="n"/>
      <c r="L198" s="9" t="n"/>
      <c r="M198" s="9" t="n"/>
      <c r="N198" s="9" t="n"/>
      <c r="O198" s="9" t="n"/>
      <c r="P198" s="9" t="n"/>
      <c r="Q198" s="9" t="n"/>
      <c r="R198" s="9" t="n"/>
    </row>
    <row r="199" ht="15.75" customHeight="1">
      <c r="A199" s="679" t="n"/>
      <c r="B199" s="474" t="n"/>
      <c r="C199" s="475" t="n"/>
      <c r="D199" s="475" t="n"/>
      <c r="E199" s="475" t="n"/>
      <c r="F199" s="475" t="n"/>
      <c r="G199" s="476" t="n"/>
      <c r="H199" s="476" t="n"/>
      <c r="I199" s="476" t="n"/>
      <c r="J199" s="476" t="n"/>
      <c r="K199" s="477" t="n"/>
      <c r="L199" s="9" t="n"/>
      <c r="M199" s="9" t="n"/>
      <c r="N199" s="9" t="n"/>
      <c r="O199" s="9" t="n"/>
      <c r="P199" s="9" t="n"/>
      <c r="Q199" s="9" t="n"/>
      <c r="R199" s="9" t="n"/>
    </row>
    <row r="200" ht="15.75" customHeight="1">
      <c r="A200" s="679" t="n"/>
      <c r="B200" s="474" t="n"/>
      <c r="C200" s="475" t="n"/>
      <c r="D200" s="475" t="n"/>
      <c r="E200" s="475" t="n"/>
      <c r="F200" s="475" t="n"/>
      <c r="G200" s="476" t="n"/>
      <c r="H200" s="476" t="n"/>
      <c r="I200" s="476" t="n"/>
      <c r="J200" s="476" t="n"/>
      <c r="K200" s="477" t="n"/>
      <c r="L200" s="9" t="n"/>
      <c r="M200" s="9" t="n"/>
      <c r="N200" s="9" t="n"/>
      <c r="O200" s="9" t="n"/>
      <c r="P200" s="9" t="n"/>
      <c r="Q200" s="9" t="n"/>
      <c r="R200" s="9" t="n"/>
    </row>
    <row r="201" ht="15.75" customHeight="1">
      <c r="A201" s="679" t="n"/>
      <c r="B201" s="474" t="n"/>
      <c r="C201" s="475" t="n"/>
      <c r="D201" s="475" t="n"/>
      <c r="E201" s="475" t="n"/>
      <c r="F201" s="475" t="n"/>
      <c r="G201" s="476" t="n"/>
      <c r="H201" s="476" t="n"/>
      <c r="I201" s="476" t="n"/>
      <c r="J201" s="476" t="n"/>
      <c r="K201" s="477" t="n"/>
      <c r="L201" s="9" t="n"/>
      <c r="M201" s="9" t="n"/>
      <c r="N201" s="9" t="n"/>
      <c r="O201" s="9" t="n"/>
      <c r="P201" s="9" t="n"/>
      <c r="Q201" s="9" t="n"/>
      <c r="R201" s="9" t="n"/>
    </row>
    <row r="202" ht="15.75" customHeight="1">
      <c r="A202" s="679" t="n"/>
      <c r="B202" s="474" t="n"/>
      <c r="C202" s="475" t="n"/>
      <c r="D202" s="475" t="n"/>
      <c r="E202" s="475" t="n"/>
      <c r="F202" s="475" t="n"/>
      <c r="G202" s="476" t="n"/>
      <c r="H202" s="476" t="n"/>
      <c r="I202" s="476" t="n"/>
      <c r="J202" s="476" t="n"/>
      <c r="K202" s="477" t="n"/>
      <c r="L202" s="9" t="n"/>
      <c r="M202" s="9" t="n"/>
      <c r="N202" s="9" t="n"/>
      <c r="O202" s="9" t="n"/>
      <c r="P202" s="9" t="n"/>
      <c r="Q202" s="9" t="n"/>
      <c r="R202" s="9" t="n"/>
    </row>
    <row r="203" ht="15.75" customHeight="1">
      <c r="A203" s="626" t="n"/>
      <c r="B203" s="494" t="n"/>
      <c r="C203" s="495" t="n"/>
      <c r="D203" s="495" t="n"/>
      <c r="E203" s="495" t="n"/>
      <c r="F203" s="495" t="n"/>
      <c r="G203" s="496" t="n"/>
      <c r="H203" s="496" t="n"/>
      <c r="I203" s="496" t="n"/>
      <c r="J203" s="479" t="n"/>
      <c r="K203" s="497" t="n"/>
      <c r="L203" s="9" t="n"/>
      <c r="M203" s="9" t="n"/>
      <c r="N203" s="9" t="n"/>
      <c r="O203" s="9" t="n"/>
      <c r="P203" s="9" t="n"/>
      <c r="Q203" s="9" t="n"/>
      <c r="R203" s="9" t="n"/>
    </row>
    <row r="204" ht="21" customHeight="1">
      <c r="A204" s="299" t="inlineStr">
        <is>
          <t xml:space="preserve">　電気設備日常点検（１/３）</t>
        </is>
      </c>
      <c r="B204" s="128" t="n"/>
      <c r="C204" s="128" t="n"/>
      <c r="D204" s="128" t="n"/>
      <c r="E204" s="128" t="n"/>
      <c r="F204" s="128" t="n"/>
      <c r="G204" s="128" t="n"/>
      <c r="H204" s="128" t="n"/>
      <c r="I204" s="128" t="n"/>
      <c r="J204" s="128" t="n"/>
      <c r="K204" s="355">
        <f>K1</f>
        <v/>
      </c>
      <c r="L204" s="9" t="n"/>
      <c r="M204" s="9" t="n"/>
      <c r="N204" s="9" t="n"/>
      <c r="O204" s="9" t="n"/>
      <c r="P204" s="9" t="n"/>
      <c r="Q204" s="9" t="n"/>
      <c r="R204" s="9" t="n"/>
    </row>
    <row r="205" ht="13.5" customHeight="1">
      <c r="A205" s="128" t="n"/>
      <c r="B205" s="128" t="n"/>
      <c r="C205" s="128" t="n"/>
      <c r="D205" s="128" t="n"/>
      <c r="E205" s="128" t="n"/>
      <c r="F205" s="128" t="n"/>
      <c r="G205" s="949" t="n"/>
      <c r="H205" s="948" t="n"/>
      <c r="I205" s="948" t="n"/>
      <c r="J205" s="948" t="n"/>
      <c r="K205" s="948" t="n"/>
      <c r="L205" s="9" t="n"/>
      <c r="M205" s="9" t="n"/>
      <c r="N205" s="9" t="n"/>
      <c r="O205" s="9" t="n"/>
      <c r="P205" s="9" t="n"/>
      <c r="Q205" s="9" t="n"/>
      <c r="R205" s="9" t="n"/>
    </row>
    <row r="206" ht="17.25" customHeight="1">
      <c r="A206" s="775" t="inlineStr">
        <is>
          <t>電　　　　　気　　　　　室</t>
        </is>
      </c>
      <c r="B206" s="775" t="inlineStr">
        <is>
          <t>引込・受電</t>
        </is>
      </c>
      <c r="C206" s="763" t="inlineStr">
        <is>
          <t>電圧</t>
        </is>
      </c>
      <c r="D206" s="586" t="n"/>
      <c r="E206" s="587" t="n"/>
      <c r="F206" s="414" t="inlineStr">
        <is>
          <t>KV</t>
        </is>
      </c>
      <c r="G206" s="932" t="n"/>
      <c r="H206" s="933" t="n"/>
      <c r="I206" s="933" t="n"/>
      <c r="J206" s="933" t="n"/>
      <c r="K206" s="939" t="n"/>
      <c r="L206" s="9" t="n"/>
      <c r="M206" s="9" t="n"/>
      <c r="N206" s="9" t="n"/>
      <c r="O206" s="9" t="n"/>
      <c r="P206" s="9" t="n"/>
      <c r="Q206" s="9" t="n"/>
      <c r="R206" s="9" t="n"/>
    </row>
    <row r="207" ht="17.25" customHeight="1">
      <c r="A207" s="679" t="n"/>
      <c r="B207" s="679" t="n"/>
      <c r="C207" s="590" t="n"/>
      <c r="D207" s="598" t="n"/>
      <c r="E207" s="591" t="n"/>
      <c r="F207" s="415" t="inlineStr">
        <is>
          <t>モード</t>
        </is>
      </c>
      <c r="G207" s="426" t="n"/>
      <c r="H207" s="426" t="n"/>
      <c r="I207" s="426" t="n"/>
      <c r="J207" s="426" t="n"/>
      <c r="K207" s="508" t="n"/>
      <c r="L207" s="9" t="n"/>
      <c r="M207" s="9" t="n"/>
      <c r="N207" s="9" t="n"/>
      <c r="O207" s="9" t="n"/>
      <c r="P207" s="9" t="n"/>
      <c r="Q207" s="9" t="n"/>
      <c r="R207" s="9" t="n"/>
    </row>
    <row r="208" ht="17.25" customHeight="1">
      <c r="A208" s="679" t="n"/>
      <c r="B208" s="679" t="n"/>
      <c r="C208" s="763" t="inlineStr">
        <is>
          <t>力率</t>
        </is>
      </c>
      <c r="D208" s="574" t="n"/>
      <c r="E208" s="580" t="n"/>
      <c r="F208" s="418" t="inlineStr">
        <is>
          <t>ψ</t>
        </is>
      </c>
      <c r="G208" s="420" t="n"/>
      <c r="H208" s="419" t="n"/>
      <c r="I208" s="419" t="n"/>
      <c r="J208" s="419" t="n"/>
      <c r="K208" s="509" t="n"/>
      <c r="L208" s="9" t="n"/>
      <c r="M208" s="9" t="n"/>
      <c r="N208" s="9" t="n"/>
      <c r="O208" s="9" t="n"/>
      <c r="P208" s="9" t="n"/>
      <c r="Q208" s="9" t="n"/>
      <c r="R208" s="9" t="n"/>
    </row>
    <row r="209" ht="17.25" customHeight="1">
      <c r="A209" s="679" t="n"/>
      <c r="B209" s="679" t="n"/>
      <c r="C209" s="763" t="inlineStr">
        <is>
          <t>電流</t>
        </is>
      </c>
      <c r="D209" s="586" t="n"/>
      <c r="E209" s="587" t="n"/>
      <c r="F209" s="414" t="inlineStr">
        <is>
          <t>A</t>
        </is>
      </c>
      <c r="G209" s="932" t="n"/>
      <c r="H209" s="933" t="n"/>
      <c r="I209" s="933" t="n"/>
      <c r="J209" s="933" t="n"/>
      <c r="K209" s="939" t="n"/>
      <c r="L209" s="9" t="n"/>
      <c r="M209" s="9" t="n"/>
      <c r="N209" s="9" t="n"/>
      <c r="O209" s="9" t="n"/>
      <c r="P209" s="9" t="n"/>
      <c r="Q209" s="9" t="n"/>
      <c r="R209" s="9" t="n"/>
    </row>
    <row r="210" ht="17.25" customHeight="1">
      <c r="A210" s="679" t="n"/>
      <c r="B210" s="679" t="n"/>
      <c r="C210" s="590" t="n"/>
      <c r="D210" s="598" t="n"/>
      <c r="E210" s="591" t="n"/>
      <c r="F210" s="415" t="inlineStr">
        <is>
          <t>モード</t>
        </is>
      </c>
      <c r="G210" s="426" t="n"/>
      <c r="H210" s="426" t="n"/>
      <c r="I210" s="426" t="n"/>
      <c r="J210" s="426" t="n"/>
      <c r="K210" s="508" t="n"/>
      <c r="L210" s="9" t="n"/>
      <c r="M210" s="9" t="n"/>
      <c r="N210" s="9" t="n"/>
      <c r="O210" s="9" t="n"/>
      <c r="P210" s="9" t="n"/>
      <c r="Q210" s="9" t="n"/>
      <c r="R210" s="9" t="n"/>
    </row>
    <row r="211" ht="17.25" customHeight="1">
      <c r="A211" s="679" t="n"/>
      <c r="B211" s="679" t="n"/>
      <c r="C211" s="763" t="inlineStr">
        <is>
          <t>普通電力量（×１０ｋw）</t>
        </is>
      </c>
      <c r="D211" s="586" t="n"/>
      <c r="E211" s="587" t="n"/>
      <c r="F211" s="414" t="inlineStr">
        <is>
          <t>読み</t>
        </is>
      </c>
      <c r="G211" s="944" t="n"/>
      <c r="H211" s="943" t="n"/>
      <c r="I211" s="943" t="n"/>
      <c r="J211" s="943" t="n"/>
      <c r="K211" s="962" t="n"/>
      <c r="L211" s="9" t="n"/>
      <c r="M211" s="9" t="n"/>
      <c r="N211" s="9" t="n"/>
      <c r="O211" s="9" t="n"/>
      <c r="P211" s="9" t="n"/>
      <c r="Q211" s="9" t="n"/>
      <c r="R211" s="9" t="n"/>
    </row>
    <row r="212" ht="17.25" customHeight="1">
      <c r="A212" s="679" t="n"/>
      <c r="B212" s="679" t="n"/>
      <c r="C212" s="590" t="n"/>
      <c r="D212" s="598" t="n"/>
      <c r="E212" s="591" t="n"/>
      <c r="F212" s="415" t="inlineStr">
        <is>
          <t>使用量</t>
        </is>
      </c>
      <c r="G212" s="947" t="n"/>
      <c r="H212" s="946" t="n"/>
      <c r="I212" s="946" t="n"/>
      <c r="J212" s="946" t="n"/>
      <c r="K212" s="963" t="n"/>
      <c r="L212" s="9" t="n"/>
      <c r="M212" s="9" t="n"/>
      <c r="N212" s="9" t="n"/>
      <c r="O212" s="9" t="n"/>
      <c r="P212" s="9" t="n"/>
      <c r="Q212" s="9" t="n"/>
      <c r="R212" s="9" t="n"/>
    </row>
    <row r="213" ht="17.25" customHeight="1">
      <c r="A213" s="679" t="n"/>
      <c r="B213" s="679" t="n"/>
      <c r="C213" s="763" t="inlineStr">
        <is>
          <t>引込・受電設定</t>
        </is>
      </c>
      <c r="D213" s="586" t="n"/>
      <c r="E213" s="587" t="n"/>
      <c r="F213" s="414" t="inlineStr">
        <is>
          <t>手動/自動</t>
        </is>
      </c>
      <c r="G213" s="332" t="n"/>
      <c r="H213" s="333" t="n"/>
      <c r="I213" s="333" t="n"/>
      <c r="J213" s="333" t="n"/>
      <c r="K213" s="400" t="n"/>
      <c r="L213" s="9" t="n"/>
      <c r="M213" s="9" t="n"/>
      <c r="N213" s="9" t="n"/>
      <c r="O213" s="9" t="n"/>
      <c r="P213" s="9" t="n"/>
      <c r="Q213" s="9" t="n"/>
      <c r="R213" s="9" t="n"/>
    </row>
    <row r="214" ht="17.25" customHeight="1">
      <c r="A214" s="679" t="n"/>
      <c r="B214" s="626" t="n"/>
      <c r="C214" s="590" t="n"/>
      <c r="D214" s="598" t="n"/>
      <c r="E214" s="591" t="n"/>
      <c r="F214" s="415" t="inlineStr">
        <is>
          <t>切/入</t>
        </is>
      </c>
      <c r="G214" s="426" t="n"/>
      <c r="H214" s="416" t="n"/>
      <c r="I214" s="416" t="n"/>
      <c r="J214" s="416" t="n"/>
      <c r="K214" s="508" t="n"/>
      <c r="L214" s="9" t="n"/>
      <c r="M214" s="9" t="n"/>
      <c r="N214" s="9" t="n"/>
      <c r="O214" s="9" t="n"/>
      <c r="P214" s="9" t="n"/>
      <c r="Q214" s="9" t="n"/>
      <c r="R214" s="9" t="n"/>
    </row>
    <row r="215" ht="17.25" customHeight="1">
      <c r="A215" s="679" t="n"/>
      <c r="B215" s="783" t="inlineStr">
        <is>
          <t>変圧器</t>
        </is>
      </c>
      <c r="C215" s="760" t="inlineStr">
        <is>
          <t>主変圧器温度</t>
        </is>
      </c>
      <c r="D215" s="586" t="n"/>
      <c r="E215" s="587" t="n"/>
      <c r="F215" s="414" t="inlineStr">
        <is>
          <t>℃</t>
        </is>
      </c>
      <c r="G215" s="332" t="n"/>
      <c r="H215" s="333" t="n"/>
      <c r="I215" s="333" t="n"/>
      <c r="J215" s="333" t="n"/>
      <c r="K215" s="400" t="n"/>
      <c r="L215" s="9" t="n"/>
      <c r="M215" s="9" t="n"/>
      <c r="N215" s="9" t="n"/>
      <c r="O215" s="9" t="n"/>
      <c r="P215" s="9" t="n"/>
      <c r="Q215" s="9" t="n"/>
      <c r="R215" s="9" t="n"/>
    </row>
    <row r="216" ht="17.25" customHeight="1">
      <c r="A216" s="679" t="n"/>
      <c r="B216" s="626" t="n"/>
      <c r="C216" s="774" t="inlineStr">
        <is>
          <t>異音、脱臭の有無</t>
        </is>
      </c>
      <c r="D216" s="598" t="n"/>
      <c r="E216" s="591" t="n"/>
      <c r="F216" s="415" t="inlineStr">
        <is>
          <t>有・無</t>
        </is>
      </c>
      <c r="G216" s="426" t="n"/>
      <c r="H216" s="416" t="n"/>
      <c r="I216" s="416" t="n"/>
      <c r="J216" s="416" t="n"/>
      <c r="K216" s="508" t="n"/>
      <c r="L216" s="9" t="n"/>
      <c r="M216" s="9" t="n"/>
      <c r="N216" s="9" t="n"/>
      <c r="O216" s="9" t="n"/>
      <c r="P216" s="9" t="n"/>
      <c r="Q216" s="9" t="n"/>
      <c r="R216" s="9" t="n"/>
    </row>
    <row r="217" ht="17.25" customHeight="1">
      <c r="A217" s="679" t="n"/>
      <c r="B217" s="759" t="inlineStr">
        <is>
          <t>低　　圧　　分　　岐</t>
        </is>
      </c>
      <c r="C217" s="763" t="inlineStr">
        <is>
          <t>動力（２１０V）　電圧</t>
        </is>
      </c>
      <c r="D217" s="586" t="n"/>
      <c r="E217" s="587" t="n"/>
      <c r="F217" s="414" t="inlineStr">
        <is>
          <t>V</t>
        </is>
      </c>
      <c r="G217" s="332" t="n"/>
      <c r="H217" s="333" t="n"/>
      <c r="I217" s="333" t="n"/>
      <c r="J217" s="333" t="n"/>
      <c r="K217" s="400" t="n"/>
      <c r="L217" s="9" t="n"/>
      <c r="M217" s="9" t="n"/>
      <c r="N217" s="9" t="n"/>
      <c r="O217" s="9" t="n"/>
      <c r="P217" s="9" t="n"/>
      <c r="Q217" s="9" t="n"/>
      <c r="R217" s="9" t="n"/>
    </row>
    <row r="218" ht="17.25" customHeight="1">
      <c r="A218" s="679" t="n"/>
      <c r="B218" s="679" t="n"/>
      <c r="C218" s="590" t="n"/>
      <c r="D218" s="598" t="n"/>
      <c r="E218" s="591" t="n"/>
      <c r="F218" s="415" t="inlineStr">
        <is>
          <t>モード</t>
        </is>
      </c>
      <c r="G218" s="426" t="n"/>
      <c r="H218" s="426" t="n"/>
      <c r="I218" s="426" t="n"/>
      <c r="J218" s="426" t="n"/>
      <c r="K218" s="508" t="n"/>
      <c r="L218" s="9" t="n"/>
      <c r="M218" s="9" t="n"/>
      <c r="N218" s="9" t="n"/>
      <c r="O218" s="9" t="n"/>
      <c r="P218" s="9" t="n"/>
      <c r="Q218" s="9" t="n"/>
      <c r="R218" s="9" t="n"/>
    </row>
    <row r="219" ht="17.25" customHeight="1">
      <c r="A219" s="679" t="n"/>
      <c r="B219" s="679" t="n"/>
      <c r="C219" s="763" t="inlineStr">
        <is>
          <t>動力（２１０V）　電流</t>
        </is>
      </c>
      <c r="D219" s="586" t="n"/>
      <c r="E219" s="587" t="n"/>
      <c r="F219" s="428" t="inlineStr">
        <is>
          <t>A</t>
        </is>
      </c>
      <c r="G219" s="430" t="n"/>
      <c r="H219" s="429" t="n"/>
      <c r="I219" s="429" t="n"/>
      <c r="J219" s="429" t="n"/>
      <c r="K219" s="512" t="n"/>
      <c r="L219" s="9" t="n"/>
      <c r="M219" s="9" t="n"/>
      <c r="N219" s="9" t="n"/>
      <c r="O219" s="9" t="n"/>
      <c r="P219" s="9" t="n"/>
      <c r="Q219" s="9" t="n"/>
      <c r="R219" s="9" t="n"/>
    </row>
    <row r="220" ht="17.25" customHeight="1">
      <c r="A220" s="679" t="n"/>
      <c r="B220" s="679" t="n"/>
      <c r="C220" s="590" t="n"/>
      <c r="D220" s="598" t="n"/>
      <c r="E220" s="591" t="n"/>
      <c r="F220" s="431" t="inlineStr">
        <is>
          <t>モード</t>
        </is>
      </c>
      <c r="G220" s="426" t="n"/>
      <c r="H220" s="426" t="n"/>
      <c r="I220" s="426" t="n"/>
      <c r="J220" s="426" t="n"/>
      <c r="K220" s="508" t="n"/>
      <c r="L220" s="9" t="n"/>
      <c r="M220" s="9" t="n"/>
      <c r="N220" s="9" t="n"/>
      <c r="O220" s="9" t="n"/>
      <c r="P220" s="9" t="n"/>
      <c r="Q220" s="9" t="n"/>
      <c r="R220" s="9" t="n"/>
    </row>
    <row r="221" ht="17.25" customHeight="1">
      <c r="A221" s="679" t="n"/>
      <c r="B221" s="679" t="n"/>
      <c r="C221" s="763" t="inlineStr">
        <is>
          <t>照明(210-105V)　　電流</t>
        </is>
      </c>
      <c r="D221" s="586" t="n"/>
      <c r="E221" s="587" t="n"/>
      <c r="F221" s="428" t="inlineStr">
        <is>
          <t>A</t>
        </is>
      </c>
      <c r="G221" s="430" t="n"/>
      <c r="H221" s="429" t="n"/>
      <c r="I221" s="429" t="n"/>
      <c r="J221" s="429" t="n"/>
      <c r="K221" s="512" t="n"/>
      <c r="L221" s="9" t="n"/>
      <c r="M221" s="9" t="n"/>
      <c r="N221" s="9" t="n"/>
      <c r="O221" s="9" t="n"/>
      <c r="P221" s="9" t="n"/>
      <c r="Q221" s="9" t="n"/>
      <c r="R221" s="9" t="n"/>
    </row>
    <row r="222" ht="17.25" customHeight="1">
      <c r="A222" s="679" t="n"/>
      <c r="B222" s="679" t="n"/>
      <c r="C222" s="590" t="n"/>
      <c r="D222" s="598" t="n"/>
      <c r="E222" s="591" t="n"/>
      <c r="F222" s="431" t="inlineStr">
        <is>
          <t>モード</t>
        </is>
      </c>
      <c r="G222" s="426" t="n"/>
      <c r="H222" s="426" t="n"/>
      <c r="I222" s="426" t="n"/>
      <c r="J222" s="426" t="n"/>
      <c r="K222" s="508" t="n"/>
      <c r="L222" s="9" t="n"/>
      <c r="M222" s="9" t="n"/>
      <c r="N222" s="9" t="n"/>
      <c r="O222" s="9" t="n"/>
      <c r="P222" s="9" t="n"/>
      <c r="Q222" s="9" t="n"/>
      <c r="R222" s="9" t="n"/>
    </row>
    <row r="223" ht="17.25" customHeight="1">
      <c r="A223" s="679" t="n"/>
      <c r="B223" s="679" t="n"/>
      <c r="C223" s="763" t="inlineStr">
        <is>
          <t>低圧分岐設備</t>
        </is>
      </c>
      <c r="D223" s="574" t="n"/>
      <c r="E223" s="580" t="n"/>
      <c r="F223" s="418" t="inlineStr">
        <is>
          <t>買電/自家発</t>
        </is>
      </c>
      <c r="G223" s="308" t="n"/>
      <c r="H223" s="309" t="n"/>
      <c r="I223" s="309" t="n"/>
      <c r="J223" s="309" t="n"/>
      <c r="K223" s="392" t="n"/>
      <c r="L223" s="9" t="n"/>
      <c r="M223" s="9" t="n"/>
      <c r="N223" s="9" t="n"/>
      <c r="O223" s="9" t="n"/>
      <c r="P223" s="9" t="n"/>
      <c r="Q223" s="9" t="n"/>
      <c r="R223" s="9" t="n"/>
    </row>
    <row r="224" ht="17.25" customHeight="1">
      <c r="A224" s="679" t="n"/>
      <c r="B224" s="679" t="n"/>
      <c r="C224" s="760" t="inlineStr">
        <is>
          <t>沈砂池ポンプ設備</t>
        </is>
      </c>
      <c r="D224" s="586" t="n"/>
      <c r="E224" s="587" t="n"/>
      <c r="F224" s="428" t="inlineStr">
        <is>
          <t>読み</t>
        </is>
      </c>
      <c r="G224" s="430" t="n"/>
      <c r="H224" s="429" t="n"/>
      <c r="I224" s="429" t="n"/>
      <c r="J224" s="429" t="n"/>
      <c r="K224" s="512" t="n"/>
      <c r="L224" s="9" t="n"/>
      <c r="M224" s="9" t="n"/>
      <c r="N224" s="9" t="n"/>
      <c r="O224" s="9" t="n"/>
      <c r="P224" s="9" t="n"/>
      <c r="Q224" s="9" t="n"/>
      <c r="R224" s="9" t="n"/>
    </row>
    <row r="225" ht="17.25" customHeight="1">
      <c r="A225" s="679" t="n"/>
      <c r="B225" s="679" t="n"/>
      <c r="C225" s="774" t="inlineStr">
        <is>
          <t>（×１ｋｗｈ）</t>
        </is>
      </c>
      <c r="D225" s="598" t="n"/>
      <c r="E225" s="591" t="n"/>
      <c r="F225" s="415" t="inlineStr">
        <is>
          <t>使用量</t>
        </is>
      </c>
      <c r="G225" s="513" t="n"/>
      <c r="H225" s="416" t="n"/>
      <c r="I225" s="416" t="n"/>
      <c r="J225" s="416" t="n"/>
      <c r="K225" s="508" t="n"/>
      <c r="L225" s="9" t="n"/>
      <c r="M225" s="9" t="n"/>
      <c r="N225" s="9" t="n"/>
      <c r="O225" s="9" t="n"/>
      <c r="P225" s="9" t="n"/>
      <c r="Q225" s="9" t="n"/>
      <c r="R225" s="9" t="n"/>
    </row>
    <row r="226" ht="17.25" customHeight="1">
      <c r="A226" s="679" t="n"/>
      <c r="B226" s="679" t="n"/>
      <c r="C226" s="760" t="inlineStr">
        <is>
          <t>水処理設備（１）</t>
        </is>
      </c>
      <c r="D226" s="586" t="n"/>
      <c r="E226" s="587" t="n"/>
      <c r="F226" s="428" t="inlineStr">
        <is>
          <t>読み</t>
        </is>
      </c>
      <c r="G226" s="430" t="n"/>
      <c r="H226" s="429" t="n"/>
      <c r="I226" s="429" t="n"/>
      <c r="J226" s="429" t="n"/>
      <c r="K226" s="512" t="n"/>
      <c r="L226" s="9" t="n"/>
      <c r="M226" s="9" t="n"/>
      <c r="N226" s="9" t="n"/>
      <c r="O226" s="9" t="n"/>
      <c r="P226" s="9" t="n"/>
      <c r="Q226" s="9" t="n"/>
      <c r="R226" s="9" t="n"/>
    </row>
    <row r="227" ht="17.25" customHeight="1">
      <c r="A227" s="679" t="n"/>
      <c r="B227" s="679" t="n"/>
      <c r="C227" s="774" t="inlineStr">
        <is>
          <t>（×１ｋｗｈ）</t>
        </is>
      </c>
      <c r="D227" s="598" t="n"/>
      <c r="E227" s="591" t="n"/>
      <c r="F227" s="415" t="inlineStr">
        <is>
          <t>使用量</t>
        </is>
      </c>
      <c r="G227" s="513" t="n"/>
      <c r="H227" s="416" t="n"/>
      <c r="I227" s="416" t="n"/>
      <c r="J227" s="416" t="n"/>
      <c r="K227" s="508" t="n"/>
      <c r="L227" s="9" t="n"/>
      <c r="M227" s="9" t="n"/>
      <c r="N227" s="9" t="n"/>
      <c r="O227" s="9" t="n"/>
      <c r="P227" s="9" t="n"/>
      <c r="Q227" s="9" t="n"/>
      <c r="R227" s="9" t="n"/>
    </row>
    <row r="228" ht="17.25" customHeight="1">
      <c r="A228" s="679" t="n"/>
      <c r="B228" s="679" t="n"/>
      <c r="C228" s="760" t="inlineStr">
        <is>
          <t>水処理設備（２）</t>
        </is>
      </c>
      <c r="D228" s="586" t="n"/>
      <c r="E228" s="587" t="n"/>
      <c r="F228" s="428" t="inlineStr">
        <is>
          <t>読み</t>
        </is>
      </c>
      <c r="G228" s="430" t="n"/>
      <c r="H228" s="429" t="n"/>
      <c r="I228" s="429" t="n"/>
      <c r="J228" s="429" t="n"/>
      <c r="K228" s="512" t="n"/>
      <c r="L228" s="9" t="n"/>
      <c r="M228" s="9" t="n"/>
      <c r="N228" s="9" t="n"/>
      <c r="O228" s="9" t="n"/>
      <c r="P228" s="9" t="n"/>
      <c r="Q228" s="9" t="n"/>
      <c r="R228" s="9" t="n"/>
    </row>
    <row r="229" ht="17.25" customHeight="1">
      <c r="A229" s="679" t="n"/>
      <c r="B229" s="679" t="n"/>
      <c r="C229" s="774" t="inlineStr">
        <is>
          <t>（×１ｋｗｈ）</t>
        </is>
      </c>
      <c r="D229" s="598" t="n"/>
      <c r="E229" s="591" t="n"/>
      <c r="F229" s="415" t="inlineStr">
        <is>
          <t>使用量</t>
        </is>
      </c>
      <c r="G229" s="513" t="n"/>
      <c r="H229" s="416" t="n"/>
      <c r="I229" s="416" t="n"/>
      <c r="J229" s="416" t="n"/>
      <c r="K229" s="508" t="n"/>
      <c r="L229" s="9" t="n"/>
      <c r="M229" s="9" t="n"/>
      <c r="N229" s="9" t="n"/>
      <c r="O229" s="9" t="n"/>
      <c r="P229" s="9" t="n"/>
      <c r="Q229" s="9" t="n"/>
      <c r="R229" s="9" t="n"/>
    </row>
    <row r="230" ht="17.25" customHeight="1">
      <c r="A230" s="679" t="n"/>
      <c r="B230" s="679" t="n"/>
      <c r="C230" s="760" t="inlineStr">
        <is>
          <t>汚泥処理設備電力量</t>
        </is>
      </c>
      <c r="D230" s="586" t="n"/>
      <c r="E230" s="587" t="n"/>
      <c r="F230" s="428" t="inlineStr">
        <is>
          <t>読み</t>
        </is>
      </c>
      <c r="G230" s="430" t="n"/>
      <c r="H230" s="429" t="n"/>
      <c r="I230" s="429" t="n"/>
      <c r="J230" s="429" t="n"/>
      <c r="K230" s="512" t="n"/>
      <c r="L230" s="9" t="n"/>
      <c r="M230" s="9" t="n"/>
      <c r="N230" s="9" t="n"/>
      <c r="O230" s="9" t="n"/>
      <c r="P230" s="9" t="n"/>
      <c r="Q230" s="9" t="n"/>
      <c r="R230" s="9" t="n"/>
    </row>
    <row r="231" ht="17.25" customHeight="1">
      <c r="A231" s="679" t="n"/>
      <c r="B231" s="679" t="n"/>
      <c r="C231" s="774" t="inlineStr">
        <is>
          <t>（×１ｋｗｈ）</t>
        </is>
      </c>
      <c r="D231" s="598" t="n"/>
      <c r="E231" s="591" t="n"/>
      <c r="F231" s="415" t="inlineStr">
        <is>
          <t>使用量</t>
        </is>
      </c>
      <c r="G231" s="513" t="n"/>
      <c r="H231" s="416" t="n"/>
      <c r="I231" s="416" t="n"/>
      <c r="J231" s="416" t="n"/>
      <c r="K231" s="508" t="n"/>
      <c r="L231" s="9" t="n"/>
      <c r="M231" s="9" t="n"/>
      <c r="N231" s="9" t="n"/>
      <c r="O231" s="9" t="n"/>
      <c r="P231" s="9" t="n"/>
      <c r="Q231" s="9" t="n"/>
      <c r="R231" s="9" t="n"/>
    </row>
    <row r="232" ht="17.25" customHeight="1">
      <c r="A232" s="679" t="n"/>
      <c r="B232" s="679" t="n"/>
      <c r="C232" s="763" t="inlineStr">
        <is>
          <t>No.１　コンデンサー(電磁接触器)</t>
        </is>
      </c>
      <c r="D232" s="574" t="n"/>
      <c r="E232" s="580" t="n"/>
      <c r="F232" s="765" t="inlineStr">
        <is>
          <t>切/入</t>
        </is>
      </c>
      <c r="G232" s="308" t="n"/>
      <c r="H232" s="308" t="n"/>
      <c r="I232" s="308" t="n"/>
      <c r="J232" s="308" t="n"/>
      <c r="K232" s="392" t="n"/>
      <c r="L232" s="9" t="n"/>
      <c r="M232" s="9" t="n"/>
      <c r="N232" s="9" t="n"/>
      <c r="O232" s="9" t="n"/>
      <c r="P232" s="9" t="n"/>
      <c r="Q232" s="9" t="n"/>
      <c r="R232" s="9" t="n"/>
    </row>
    <row r="233" ht="17.25" customHeight="1">
      <c r="A233" s="679" t="n"/>
      <c r="B233" s="679" t="n"/>
      <c r="C233" s="763" t="inlineStr">
        <is>
          <t>No.２　コンデンサー(電磁接触器)</t>
        </is>
      </c>
      <c r="D233" s="574" t="n"/>
      <c r="E233" s="580" t="n"/>
      <c r="F233" s="765" t="inlineStr">
        <is>
          <t>切/入</t>
        </is>
      </c>
      <c r="G233" s="308" t="n"/>
      <c r="H233" s="308" t="n"/>
      <c r="I233" s="308" t="n"/>
      <c r="J233" s="308" t="n"/>
      <c r="K233" s="392" t="n"/>
      <c r="L233" s="9" t="n"/>
      <c r="M233" s="9" t="n"/>
      <c r="N233" s="9" t="n"/>
      <c r="O233" s="9" t="n"/>
      <c r="P233" s="9" t="n"/>
      <c r="Q233" s="9" t="n"/>
      <c r="R233" s="9" t="n"/>
    </row>
    <row r="234" ht="17.25" customHeight="1">
      <c r="A234" s="626" t="n"/>
      <c r="B234" s="626" t="n"/>
      <c r="C234" s="763" t="inlineStr">
        <is>
          <t>No.３　コンデンサー(電磁接触器)</t>
        </is>
      </c>
      <c r="D234" s="574" t="n"/>
      <c r="E234" s="580" t="n"/>
      <c r="F234" s="765" t="inlineStr">
        <is>
          <t>切/入</t>
        </is>
      </c>
      <c r="G234" s="308" t="n"/>
      <c r="H234" s="308" t="n"/>
      <c r="I234" s="308" t="n"/>
      <c r="J234" s="308" t="n"/>
      <c r="K234" s="392" t="n"/>
      <c r="L234" s="9" t="n"/>
      <c r="M234" s="9" t="n"/>
      <c r="N234" s="9" t="n"/>
      <c r="O234" s="9" t="n"/>
      <c r="P234" s="9" t="n"/>
      <c r="Q234" s="9" t="n"/>
      <c r="R234" s="9" t="n"/>
    </row>
    <row r="235" ht="13.5" customHeight="1">
      <c r="A235" s="781" t="inlineStr">
        <is>
          <t>備　考</t>
        </is>
      </c>
      <c r="B235" s="360" t="n"/>
      <c r="C235" s="747" t="n"/>
      <c r="D235" s="747" t="n"/>
      <c r="E235" s="747" t="n"/>
      <c r="F235" s="747" t="n"/>
      <c r="G235" s="747" t="n"/>
      <c r="H235" s="747" t="n"/>
      <c r="I235" s="747" t="n"/>
      <c r="J235" s="747" t="n"/>
      <c r="K235" s="435" t="n"/>
      <c r="L235" s="9" t="n"/>
      <c r="M235" s="9" t="n"/>
      <c r="N235" s="9" t="n"/>
      <c r="O235" s="9" t="n"/>
      <c r="P235" s="9" t="n"/>
      <c r="Q235" s="9" t="n"/>
      <c r="R235" s="9" t="n"/>
    </row>
    <row r="236" ht="13.5" customHeight="1">
      <c r="A236" s="679" t="n"/>
      <c r="B236" s="361" t="n"/>
      <c r="C236" s="128" t="n"/>
      <c r="D236" s="128" t="n"/>
      <c r="E236" s="128" t="n"/>
      <c r="F236" s="357" t="n"/>
      <c r="G236" s="371" t="n"/>
      <c r="H236" s="371" t="n"/>
      <c r="I236" s="371" t="n"/>
      <c r="J236" s="371" t="n"/>
      <c r="K236" s="436" t="n"/>
      <c r="L236" s="9" t="n"/>
      <c r="M236" s="9" t="n"/>
      <c r="N236" s="9" t="n"/>
      <c r="O236" s="9" t="n"/>
      <c r="P236" s="9" t="n"/>
      <c r="Q236" s="9" t="n"/>
      <c r="R236" s="9" t="n"/>
    </row>
    <row r="237" ht="29.25" customHeight="1">
      <c r="A237" s="626" t="n"/>
      <c r="B237" s="437" t="n"/>
      <c r="C237" s="438" t="n"/>
      <c r="D237" s="438" t="n"/>
      <c r="E237" s="438" t="n"/>
      <c r="F237" s="438" t="n"/>
      <c r="G237" s="439" t="n"/>
      <c r="H237" s="439" t="n"/>
      <c r="I237" s="439" t="n"/>
      <c r="J237" s="439" t="n"/>
      <c r="K237" s="440" t="n"/>
      <c r="L237" s="9" t="n"/>
      <c r="M237" s="9" t="n"/>
      <c r="N237" s="9" t="n"/>
      <c r="O237" s="9" t="n"/>
      <c r="P237" s="9" t="n"/>
      <c r="Q237" s="9" t="n"/>
      <c r="R237" s="9" t="n"/>
    </row>
    <row r="238" ht="21" customHeight="1">
      <c r="A238" s="299" t="inlineStr">
        <is>
          <t xml:space="preserve">　電気設備日常点検（２/３）</t>
        </is>
      </c>
      <c r="B238" s="128" t="n"/>
      <c r="C238" s="128" t="n"/>
      <c r="D238" s="128" t="n"/>
      <c r="E238" s="128" t="n"/>
      <c r="F238" s="128" t="n"/>
      <c r="G238" s="128" t="n"/>
      <c r="H238" s="128" t="n"/>
      <c r="I238" s="128" t="n"/>
      <c r="J238" s="128" t="n"/>
      <c r="K238" s="355">
        <f>K1</f>
        <v/>
      </c>
      <c r="L238" s="9" t="n"/>
      <c r="M238" s="9" t="n"/>
      <c r="N238" s="9" t="n"/>
      <c r="O238" s="9" t="n"/>
      <c r="P238" s="9" t="n"/>
      <c r="Q238" s="9" t="n"/>
      <c r="R238" s="9" t="n"/>
    </row>
    <row r="239" ht="13.5" customHeight="1">
      <c r="A239" s="768" t="n"/>
      <c r="B239" s="765" t="inlineStr">
        <is>
          <t>機器名</t>
        </is>
      </c>
      <c r="C239" s="587" t="n"/>
      <c r="D239" s="765" t="inlineStr">
        <is>
          <t>点　　検　　者　　氏　　名</t>
        </is>
      </c>
      <c r="E239" s="574" t="n"/>
      <c r="F239" s="580" t="n"/>
      <c r="G239" s="308" t="n"/>
      <c r="H239" s="309" t="n"/>
      <c r="I239" s="309" t="n"/>
      <c r="J239" s="309" t="n"/>
      <c r="K239" s="392" t="n"/>
      <c r="L239" s="9" t="n"/>
      <c r="M239" s="9" t="n"/>
      <c r="N239" s="9" t="n"/>
      <c r="O239" s="9" t="n"/>
      <c r="P239" s="9" t="n"/>
      <c r="Q239" s="9" t="n"/>
      <c r="R239" s="9" t="n"/>
    </row>
    <row r="240" ht="13.5" customHeight="1">
      <c r="A240" s="626" t="n"/>
      <c r="B240" s="590" t="n"/>
      <c r="C240" s="591" t="n"/>
      <c r="D240" s="765" t="inlineStr">
        <is>
          <t>点　　　検　　　内　　　容</t>
        </is>
      </c>
      <c r="E240" s="574" t="n"/>
      <c r="F240" s="580" t="n"/>
      <c r="G240" s="949" t="n"/>
      <c r="H240" s="948" t="n"/>
      <c r="I240" s="948" t="n"/>
      <c r="J240" s="948" t="n"/>
      <c r="K240" s="948" t="n"/>
      <c r="L240" s="9" t="n"/>
      <c r="M240" s="9" t="n"/>
      <c r="N240" s="9" t="n"/>
      <c r="O240" s="9" t="n"/>
      <c r="P240" s="9" t="n"/>
      <c r="Q240" s="9" t="n"/>
      <c r="R240" s="9" t="n"/>
    </row>
    <row r="241" ht="16.5" customHeight="1">
      <c r="A241" s="764" t="inlineStr">
        <is>
          <t>計　　　　　装　　　　　設　　　　　備</t>
        </is>
      </c>
      <c r="B241" s="767" t="inlineStr">
        <is>
          <t>Nｏ．１オキシデーションディッチＤＯ計</t>
        </is>
      </c>
      <c r="C241" s="587" t="n"/>
      <c r="D241" s="773" t="inlineStr">
        <is>
          <t>外観の確認</t>
        </is>
      </c>
      <c r="E241" s="950" t="n"/>
      <c r="F241" s="445" t="n"/>
      <c r="G241" s="332" t="n"/>
      <c r="H241" s="333" t="n"/>
      <c r="I241" s="333" t="n"/>
      <c r="J241" s="333" t="n"/>
      <c r="K241" s="400" t="n"/>
      <c r="L241" s="9" t="n"/>
      <c r="M241" s="9" t="n"/>
      <c r="N241" s="9" t="n"/>
      <c r="O241" s="9" t="n"/>
      <c r="P241" s="9" t="n"/>
      <c r="Q241" s="9" t="n"/>
      <c r="R241" s="9" t="n"/>
    </row>
    <row r="242" ht="16.5" customHeight="1">
      <c r="A242" s="679" t="n"/>
      <c r="B242" s="613" t="n"/>
      <c r="C242" s="602" t="n"/>
      <c r="D242" s="777" t="inlineStr">
        <is>
          <t>指示状況の確認</t>
        </is>
      </c>
      <c r="E242" s="951" t="n"/>
      <c r="F242" s="446" t="n"/>
      <c r="G242" s="448" t="n"/>
      <c r="H242" s="447" t="n"/>
      <c r="I242" s="447" t="n"/>
      <c r="J242" s="447" t="n"/>
      <c r="K242" s="514" t="n"/>
      <c r="L242" s="9" t="n"/>
      <c r="M242" s="9" t="n"/>
      <c r="N242" s="9" t="n"/>
      <c r="O242" s="9" t="n"/>
      <c r="P242" s="9" t="n"/>
      <c r="Q242" s="9" t="n"/>
      <c r="R242" s="9" t="n"/>
    </row>
    <row r="243" ht="16.5" customHeight="1">
      <c r="A243" s="679" t="n"/>
      <c r="B243" s="590" t="n"/>
      <c r="C243" s="591" t="n"/>
      <c r="D243" s="762" t="inlineStr">
        <is>
          <t>ＤＯ値</t>
        </is>
      </c>
      <c r="E243" s="952" t="n"/>
      <c r="F243" s="449" t="inlineStr">
        <is>
          <t>㎎/ℓ</t>
        </is>
      </c>
      <c r="G243" s="451" t="n"/>
      <c r="H243" s="450" t="n"/>
      <c r="I243" s="450" t="n"/>
      <c r="J243" s="450" t="n"/>
      <c r="K243" s="515" t="n"/>
      <c r="L243" s="9" t="n"/>
      <c r="M243" s="9" t="n"/>
      <c r="N243" s="9" t="n"/>
      <c r="O243" s="9" t="n"/>
      <c r="P243" s="9" t="n"/>
      <c r="Q243" s="9" t="n"/>
      <c r="R243" s="9" t="n"/>
    </row>
    <row r="244" ht="16.5" customHeight="1">
      <c r="A244" s="679" t="n"/>
      <c r="B244" s="767" t="inlineStr">
        <is>
          <t>Nｏ．２オキシデーションディッチＤＯ計</t>
        </is>
      </c>
      <c r="C244" s="587" t="n"/>
      <c r="D244" s="773" t="inlineStr">
        <is>
          <t>外観の確認</t>
        </is>
      </c>
      <c r="E244" s="950" t="n"/>
      <c r="F244" s="445" t="n"/>
      <c r="G244" s="332" t="n"/>
      <c r="H244" s="333" t="n"/>
      <c r="I244" s="333" t="n"/>
      <c r="J244" s="333" t="n"/>
      <c r="K244" s="400" t="n"/>
      <c r="L244" s="9" t="n"/>
      <c r="M244" s="9" t="n"/>
      <c r="N244" s="9" t="n"/>
      <c r="O244" s="9" t="n"/>
      <c r="P244" s="9" t="n"/>
      <c r="Q244" s="9" t="n"/>
      <c r="R244" s="9" t="n"/>
    </row>
    <row r="245" ht="16.5" customHeight="1">
      <c r="A245" s="679" t="n"/>
      <c r="B245" s="613" t="n"/>
      <c r="C245" s="602" t="n"/>
      <c r="D245" s="777" t="inlineStr">
        <is>
          <t>指示状況の確認</t>
        </is>
      </c>
      <c r="E245" s="951" t="n"/>
      <c r="F245" s="446" t="n"/>
      <c r="G245" s="448" t="n"/>
      <c r="H245" s="447" t="n"/>
      <c r="I245" s="447" t="n"/>
      <c r="J245" s="447" t="n"/>
      <c r="K245" s="514" t="n"/>
      <c r="L245" s="9" t="n"/>
      <c r="M245" s="9" t="n"/>
      <c r="N245" s="9" t="n"/>
      <c r="O245" s="9" t="n"/>
      <c r="P245" s="9" t="n"/>
      <c r="Q245" s="9" t="n"/>
      <c r="R245" s="9" t="n"/>
    </row>
    <row r="246" ht="16.5" customHeight="1">
      <c r="A246" s="679" t="n"/>
      <c r="B246" s="590" t="n"/>
      <c r="C246" s="591" t="n"/>
      <c r="D246" s="762" t="inlineStr">
        <is>
          <t>ＤＯ値</t>
        </is>
      </c>
      <c r="E246" s="952" t="n"/>
      <c r="F246" s="449" t="inlineStr">
        <is>
          <t>㎎/ℓ</t>
        </is>
      </c>
      <c r="G246" s="453" t="n"/>
      <c r="H246" s="452" t="n"/>
      <c r="I246" s="452" t="n"/>
      <c r="J246" s="452" t="n"/>
      <c r="K246" s="516" t="n"/>
      <c r="L246" s="9" t="n"/>
      <c r="M246" s="9" t="n"/>
      <c r="N246" s="9" t="n"/>
      <c r="O246" s="9" t="n"/>
      <c r="P246" s="9" t="n"/>
      <c r="Q246" s="9" t="n"/>
      <c r="R246" s="9" t="n"/>
    </row>
    <row r="247" ht="16.5" customHeight="1">
      <c r="A247" s="679" t="n"/>
      <c r="B247" s="767" t="inlineStr">
        <is>
          <t>Nｏ．１返送汚泥流量計</t>
        </is>
      </c>
      <c r="C247" s="587" t="n"/>
      <c r="D247" s="773" t="inlineStr">
        <is>
          <t>外観の確認</t>
        </is>
      </c>
      <c r="E247" s="950" t="n"/>
      <c r="F247" s="445" t="n"/>
      <c r="G247" s="332" t="n"/>
      <c r="H247" s="333" t="n"/>
      <c r="I247" s="333" t="n"/>
      <c r="J247" s="333" t="n"/>
      <c r="K247" s="400" t="n"/>
      <c r="L247" s="9" t="n"/>
      <c r="M247" s="9" t="n"/>
      <c r="N247" s="9" t="n"/>
      <c r="O247" s="9" t="n"/>
      <c r="P247" s="9" t="n"/>
      <c r="Q247" s="9" t="n"/>
      <c r="R247" s="9" t="n"/>
    </row>
    <row r="248" ht="16.5" customHeight="1">
      <c r="A248" s="679" t="n"/>
      <c r="B248" s="613" t="n"/>
      <c r="C248" s="602" t="n"/>
      <c r="D248" s="771" t="inlineStr">
        <is>
          <t>指示状況の確認</t>
        </is>
      </c>
      <c r="E248" s="641" t="n"/>
      <c r="F248" s="459" t="n"/>
      <c r="G248" s="448" t="n"/>
      <c r="H248" s="447" t="n"/>
      <c r="I248" s="447" t="n"/>
      <c r="J248" s="447" t="n"/>
      <c r="K248" s="514" t="n"/>
      <c r="L248" s="9" t="n"/>
      <c r="M248" s="9" t="n"/>
      <c r="N248" s="9" t="n"/>
      <c r="O248" s="9" t="n"/>
      <c r="P248" s="9" t="n"/>
      <c r="Q248" s="9" t="n"/>
      <c r="R248" s="9" t="n"/>
    </row>
    <row r="249" ht="16.5" customHeight="1">
      <c r="A249" s="679" t="n"/>
      <c r="B249" s="613" t="n"/>
      <c r="C249" s="602" t="n"/>
      <c r="D249" s="771" t="inlineStr">
        <is>
          <t>流量計の読み</t>
        </is>
      </c>
      <c r="E249" s="641" t="n"/>
      <c r="F249" s="459" t="inlineStr">
        <is>
          <t>㎥/ｈ</t>
        </is>
      </c>
      <c r="G249" s="517" t="n"/>
      <c r="H249" s="518" t="n"/>
      <c r="I249" s="518" t="n"/>
      <c r="J249" s="518" t="n"/>
      <c r="K249" s="519" t="n"/>
      <c r="L249" s="9" t="n"/>
      <c r="M249" s="9" t="n"/>
      <c r="N249" s="9" t="n"/>
      <c r="O249" s="9" t="n"/>
      <c r="P249" s="9" t="n"/>
      <c r="Q249" s="9" t="n"/>
      <c r="R249" s="9" t="n"/>
    </row>
    <row r="250" ht="16.5" customHeight="1">
      <c r="A250" s="679" t="n"/>
      <c r="B250" s="590" t="n"/>
      <c r="C250" s="591" t="n"/>
      <c r="D250" s="772" t="inlineStr">
        <is>
          <t>流量計積算計読み</t>
        </is>
      </c>
      <c r="E250" s="608" t="n"/>
      <c r="F250" s="449" t="inlineStr">
        <is>
          <t>㎥</t>
        </is>
      </c>
      <c r="G250" s="961" t="n"/>
      <c r="H250" s="960" t="n"/>
      <c r="I250" s="960" t="n"/>
      <c r="J250" s="960" t="n"/>
      <c r="K250" s="964" t="n"/>
      <c r="L250" s="854" t="n"/>
      <c r="M250" s="9" t="n"/>
      <c r="N250" s="9" t="n"/>
      <c r="O250" s="9" t="n"/>
      <c r="P250" s="9" t="n"/>
      <c r="Q250" s="9" t="n"/>
      <c r="R250" s="9" t="n"/>
    </row>
    <row r="251" ht="16.5" customHeight="1">
      <c r="A251" s="679" t="n"/>
      <c r="B251" s="767" t="inlineStr">
        <is>
          <t>Nｏ．２返送汚泥流量計</t>
        </is>
      </c>
      <c r="C251" s="587" t="n"/>
      <c r="D251" s="773" t="inlineStr">
        <is>
          <t>外観の確認</t>
        </is>
      </c>
      <c r="E251" s="950" t="n"/>
      <c r="F251" s="445" t="n"/>
      <c r="G251" s="332" t="n"/>
      <c r="H251" s="333" t="n"/>
      <c r="I251" s="333" t="n"/>
      <c r="J251" s="333" t="n"/>
      <c r="K251" s="400" t="n"/>
      <c r="L251" s="9" t="n"/>
      <c r="M251" s="9" t="n"/>
      <c r="N251" s="9" t="n"/>
      <c r="O251" s="9" t="n"/>
      <c r="P251" s="9" t="n"/>
      <c r="Q251" s="9" t="n"/>
      <c r="R251" s="9" t="n"/>
    </row>
    <row r="252" ht="16.5" customHeight="1">
      <c r="A252" s="679" t="n"/>
      <c r="B252" s="613" t="n"/>
      <c r="C252" s="602" t="n"/>
      <c r="D252" s="771" t="inlineStr">
        <is>
          <t>指示状況の確認</t>
        </is>
      </c>
      <c r="E252" s="641" t="n"/>
      <c r="F252" s="459" t="n"/>
      <c r="G252" s="448" t="n"/>
      <c r="H252" s="447" t="n"/>
      <c r="I252" s="447" t="n"/>
      <c r="J252" s="447" t="n"/>
      <c r="K252" s="514" t="n"/>
      <c r="L252" s="9" t="n"/>
      <c r="M252" s="9" t="n"/>
      <c r="N252" s="9" t="n"/>
      <c r="O252" s="9" t="n"/>
      <c r="P252" s="9" t="n"/>
      <c r="Q252" s="9" t="n"/>
      <c r="R252" s="9" t="n"/>
    </row>
    <row r="253" ht="16.5" customHeight="1">
      <c r="A253" s="679" t="n"/>
      <c r="B253" s="613" t="n"/>
      <c r="C253" s="602" t="n"/>
      <c r="D253" s="771" t="inlineStr">
        <is>
          <t>流量計の読み</t>
        </is>
      </c>
      <c r="E253" s="641" t="n"/>
      <c r="F253" s="459" t="inlineStr">
        <is>
          <t>㎥/ｈ</t>
        </is>
      </c>
      <c r="G253" s="467" t="n"/>
      <c r="H253" s="466" t="n"/>
      <c r="I253" s="466" t="n"/>
      <c r="J253" s="466" t="n"/>
      <c r="K253" s="521" t="n"/>
      <c r="L253" s="9" t="n"/>
      <c r="M253" s="9" t="n"/>
      <c r="N253" s="9" t="n"/>
      <c r="O253" s="9" t="n"/>
      <c r="P253" s="9" t="n"/>
      <c r="Q253" s="9" t="n"/>
      <c r="R253" s="9" t="n"/>
    </row>
    <row r="254" ht="16.5" customHeight="1">
      <c r="A254" s="679" t="n"/>
      <c r="B254" s="590" t="n"/>
      <c r="C254" s="591" t="n"/>
      <c r="D254" s="772" t="inlineStr">
        <is>
          <t>流量計積算計読み</t>
        </is>
      </c>
      <c r="E254" s="608" t="n"/>
      <c r="F254" s="449" t="inlineStr">
        <is>
          <t>㎥</t>
        </is>
      </c>
      <c r="G254" s="961" t="n"/>
      <c r="H254" s="960" t="n"/>
      <c r="I254" s="960" t="n"/>
      <c r="J254" s="960" t="n"/>
      <c r="K254" s="964" t="n"/>
      <c r="L254" s="9" t="n"/>
      <c r="M254" s="9" t="n"/>
      <c r="N254" s="9" t="n"/>
      <c r="O254" s="9" t="n"/>
      <c r="P254" s="9" t="n"/>
      <c r="Q254" s="9" t="n"/>
      <c r="R254" s="9" t="n"/>
    </row>
    <row r="255" ht="16.5" customHeight="1">
      <c r="A255" s="679" t="n"/>
      <c r="B255" s="782" t="inlineStr">
        <is>
          <t>余剰汚泥流量計</t>
        </is>
      </c>
      <c r="C255" s="587" t="n"/>
      <c r="D255" s="773" t="inlineStr">
        <is>
          <t>外観の確認</t>
        </is>
      </c>
      <c r="E255" s="950" t="n"/>
      <c r="F255" s="445" t="n"/>
      <c r="G255" s="332" t="n"/>
      <c r="H255" s="333" t="n"/>
      <c r="I255" s="333" t="n"/>
      <c r="J255" s="333" t="n"/>
      <c r="K255" s="400" t="n"/>
      <c r="L255" s="9" t="n"/>
      <c r="M255" s="9" t="n"/>
      <c r="N255" s="9" t="n"/>
      <c r="O255" s="9" t="n"/>
      <c r="P255" s="9" t="n"/>
      <c r="Q255" s="9" t="n"/>
      <c r="R255" s="9" t="n"/>
    </row>
    <row r="256" ht="16.5" customHeight="1">
      <c r="A256" s="679" t="n"/>
      <c r="B256" s="613" t="n"/>
      <c r="C256" s="602" t="n"/>
      <c r="D256" s="771" t="inlineStr">
        <is>
          <t>指示状況の確認</t>
        </is>
      </c>
      <c r="E256" s="641" t="n"/>
      <c r="F256" s="459" t="n"/>
      <c r="G256" s="448" t="n"/>
      <c r="H256" s="447" t="n"/>
      <c r="I256" s="447" t="n"/>
      <c r="J256" s="447" t="n"/>
      <c r="K256" s="514" t="n"/>
      <c r="L256" s="9" t="n"/>
      <c r="M256" s="9" t="n"/>
      <c r="N256" s="9" t="n"/>
      <c r="O256" s="9" t="n"/>
      <c r="P256" s="9" t="n"/>
      <c r="Q256" s="9" t="n"/>
      <c r="R256" s="9" t="n"/>
    </row>
    <row r="257" ht="16.5" customHeight="1">
      <c r="A257" s="679" t="n"/>
      <c r="B257" s="613" t="n"/>
      <c r="C257" s="602" t="n"/>
      <c r="D257" s="766" t="inlineStr">
        <is>
          <t>No.１余剰汚泥ポンプ流量計読み</t>
        </is>
      </c>
      <c r="E257" s="577" t="n"/>
      <c r="F257" s="459" t="inlineStr">
        <is>
          <t>㎥/ｈ</t>
        </is>
      </c>
      <c r="G257" s="461" t="n"/>
      <c r="H257" s="460" t="n"/>
      <c r="I257" s="460" t="n"/>
      <c r="J257" s="460" t="n"/>
      <c r="K257" s="522" t="n"/>
      <c r="L257" s="9" t="n"/>
      <c r="M257" s="9" t="n"/>
      <c r="N257" s="9" t="n"/>
      <c r="O257" s="9" t="n"/>
      <c r="P257" s="9" t="n"/>
      <c r="Q257" s="9" t="n"/>
      <c r="R257" s="9" t="n"/>
    </row>
    <row r="258" ht="16.5" customHeight="1">
      <c r="A258" s="679" t="n"/>
      <c r="B258" s="613" t="n"/>
      <c r="C258" s="602" t="n"/>
      <c r="D258" s="770" t="inlineStr">
        <is>
          <t>No.２余剰汚泥ポンプ流量計読み</t>
        </is>
      </c>
      <c r="E258" s="666" t="n"/>
      <c r="F258" s="459" t="inlineStr">
        <is>
          <t>㎥/ｈ</t>
        </is>
      </c>
      <c r="G258" s="461" t="n"/>
      <c r="H258" s="460" t="n"/>
      <c r="I258" s="460" t="n"/>
      <c r="J258" s="460" t="n"/>
      <c r="K258" s="522" t="n"/>
      <c r="L258" s="9" t="n"/>
      <c r="M258" s="9" t="n"/>
      <c r="N258" s="9" t="n"/>
      <c r="O258" s="9" t="n"/>
      <c r="P258" s="9" t="n"/>
      <c r="Q258" s="9" t="n"/>
      <c r="R258" s="9" t="n"/>
    </row>
    <row r="259" ht="16.5" customHeight="1">
      <c r="A259" s="679" t="n"/>
      <c r="B259" s="763" t="inlineStr">
        <is>
          <t>放流流量計</t>
        </is>
      </c>
      <c r="C259" s="587" t="n"/>
      <c r="D259" s="758" t="inlineStr">
        <is>
          <t>外観の確認</t>
        </is>
      </c>
      <c r="E259" s="583" t="n"/>
      <c r="F259" s="445" t="n"/>
      <c r="G259" s="332" t="n"/>
      <c r="H259" s="333" t="n"/>
      <c r="I259" s="333" t="n"/>
      <c r="J259" s="333" t="n"/>
      <c r="K259" s="400" t="n"/>
      <c r="L259" s="9" t="n"/>
      <c r="M259" s="9" t="n"/>
      <c r="N259" s="9" t="n"/>
      <c r="O259" s="9" t="n"/>
      <c r="P259" s="9" t="n"/>
      <c r="Q259" s="9" t="n"/>
      <c r="R259" s="9" t="n"/>
    </row>
    <row r="260" ht="16.5" customHeight="1">
      <c r="A260" s="679" t="n"/>
      <c r="B260" s="613" t="n"/>
      <c r="C260" s="602" t="n"/>
      <c r="D260" s="757" t="inlineStr">
        <is>
          <t>指示状況の確認</t>
        </is>
      </c>
      <c r="E260" s="577" t="n"/>
      <c r="F260" s="459" t="n"/>
      <c r="G260" s="448" t="n"/>
      <c r="H260" s="447" t="n"/>
      <c r="I260" s="447" t="n"/>
      <c r="J260" s="447" t="n"/>
      <c r="K260" s="514" t="n"/>
      <c r="L260" s="9" t="n"/>
      <c r="M260" s="9" t="n"/>
      <c r="N260" s="9" t="n"/>
      <c r="O260" s="9" t="n"/>
      <c r="P260" s="9" t="n"/>
      <c r="Q260" s="9" t="n"/>
      <c r="R260" s="9" t="n"/>
    </row>
    <row r="261" ht="16.5" customHeight="1">
      <c r="A261" s="679" t="n"/>
      <c r="B261" s="613" t="n"/>
      <c r="C261" s="602" t="n"/>
      <c r="D261" s="757" t="inlineStr">
        <is>
          <t>流量計の読み</t>
        </is>
      </c>
      <c r="E261" s="577" t="n"/>
      <c r="F261" s="459" t="inlineStr">
        <is>
          <t>㎥/ｈ</t>
        </is>
      </c>
      <c r="G261" s="461" t="n"/>
      <c r="H261" s="460" t="n"/>
      <c r="I261" s="460" t="n"/>
      <c r="J261" s="460" t="n"/>
      <c r="K261" s="522" t="n"/>
      <c r="L261" s="9" t="n"/>
      <c r="M261" s="9" t="n"/>
      <c r="N261" s="9" t="n"/>
      <c r="O261" s="9" t="n"/>
      <c r="P261" s="9" t="n"/>
      <c r="Q261" s="9" t="n"/>
      <c r="R261" s="9" t="n"/>
    </row>
    <row r="262" ht="16.5" customHeight="1">
      <c r="A262" s="679" t="n"/>
      <c r="B262" s="590" t="n"/>
      <c r="C262" s="591" t="n"/>
      <c r="D262" s="772" t="inlineStr">
        <is>
          <t>流量計積算の読み</t>
        </is>
      </c>
      <c r="E262" s="608" t="n"/>
      <c r="F262" s="319" t="inlineStr">
        <is>
          <t>㎥</t>
        </is>
      </c>
      <c r="G262" s="954" t="n"/>
      <c r="H262" s="953" t="n"/>
      <c r="I262" s="953" t="n"/>
      <c r="J262" s="953" t="n"/>
      <c r="K262" s="965" t="n"/>
      <c r="L262" s="9" t="n"/>
      <c r="M262" s="9" t="n"/>
      <c r="N262" s="9" t="n"/>
      <c r="O262" s="9" t="n"/>
      <c r="P262" s="9" t="n"/>
      <c r="Q262" s="9" t="n"/>
      <c r="R262" s="9" t="n"/>
    </row>
    <row r="263" ht="16.5" customHeight="1">
      <c r="A263" s="679" t="n"/>
      <c r="B263" s="778" t="inlineStr">
        <is>
          <t>汚濁負荷量計</t>
        </is>
      </c>
      <c r="C263" s="587" t="n"/>
      <c r="D263" s="758" t="inlineStr">
        <is>
          <t>外観の確認</t>
        </is>
      </c>
      <c r="E263" s="583" t="n"/>
      <c r="F263" s="445" t="n"/>
      <c r="G263" s="332" t="n"/>
      <c r="H263" s="333" t="n"/>
      <c r="I263" s="333" t="n"/>
      <c r="J263" s="333" t="n"/>
      <c r="K263" s="400" t="n"/>
      <c r="L263" s="9" t="n"/>
      <c r="M263" s="9" t="n"/>
      <c r="N263" s="9" t="n"/>
      <c r="O263" s="9" t="n"/>
      <c r="P263" s="9" t="n"/>
      <c r="Q263" s="9" t="n"/>
      <c r="R263" s="9" t="n"/>
    </row>
    <row r="264" ht="16.5" customHeight="1">
      <c r="A264" s="679" t="n"/>
      <c r="B264" s="613" t="n"/>
      <c r="C264" s="602" t="n"/>
      <c r="D264" s="757" t="inlineStr">
        <is>
          <t>指示状況の確認</t>
        </is>
      </c>
      <c r="E264" s="577" t="n"/>
      <c r="F264" s="459" t="n"/>
      <c r="G264" s="448" t="n"/>
      <c r="H264" s="447" t="n"/>
      <c r="I264" s="447" t="n"/>
      <c r="J264" s="447" t="n"/>
      <c r="K264" s="514" t="n"/>
      <c r="L264" s="9" t="n"/>
      <c r="M264" s="9" t="n"/>
      <c r="N264" s="9" t="n"/>
      <c r="O264" s="9" t="n"/>
      <c r="P264" s="9" t="n"/>
      <c r="Q264" s="9" t="n"/>
      <c r="R264" s="9" t="n"/>
    </row>
    <row r="265" ht="16.5" customHeight="1">
      <c r="A265" s="679" t="n"/>
      <c r="B265" s="779" t="inlineStr">
        <is>
          <t>（放流水ＵＶ）</t>
        </is>
      </c>
      <c r="C265" s="602" t="n"/>
      <c r="D265" s="757" t="inlineStr">
        <is>
          <t>ＵＶ値</t>
        </is>
      </c>
      <c r="E265" s="577" t="n"/>
      <c r="F265" s="459" t="inlineStr">
        <is>
          <t>Abs</t>
        </is>
      </c>
      <c r="G265" s="467" t="n"/>
      <c r="H265" s="466" t="n"/>
      <c r="I265" s="466" t="n"/>
      <c r="J265" s="466" t="n"/>
      <c r="K265" s="521" t="n"/>
      <c r="L265" s="9" t="n"/>
      <c r="M265" s="9" t="n"/>
      <c r="N265" s="9" t="n"/>
      <c r="O265" s="9" t="n"/>
      <c r="P265" s="9" t="n"/>
      <c r="Q265" s="9" t="n"/>
      <c r="R265" s="9" t="n"/>
    </row>
    <row r="266" ht="16.5" customHeight="1">
      <c r="A266" s="506" t="n"/>
      <c r="B266" s="590" t="n"/>
      <c r="C266" s="591" t="n"/>
      <c r="D266" s="772" t="inlineStr">
        <is>
          <t>ＣＯＤ値</t>
        </is>
      </c>
      <c r="E266" s="608" t="n"/>
      <c r="F266" s="319" t="inlineStr">
        <is>
          <t>㎎/ℓ</t>
        </is>
      </c>
      <c r="G266" s="956" t="n"/>
      <c r="H266" s="955" t="n"/>
      <c r="I266" s="955" t="n"/>
      <c r="J266" s="966" t="n"/>
      <c r="K266" s="967" t="n"/>
      <c r="L266" s="9" t="n"/>
      <c r="M266" s="9" t="n"/>
      <c r="N266" s="9" t="n"/>
      <c r="O266" s="9" t="n"/>
      <c r="P266" s="9" t="n"/>
      <c r="Q266" s="9" t="n"/>
      <c r="R266" s="9" t="n"/>
    </row>
    <row r="267" ht="13.5" customHeight="1">
      <c r="A267" s="781" t="inlineStr">
        <is>
          <t>備考</t>
        </is>
      </c>
      <c r="B267" s="470" t="inlineStr">
        <is>
          <t>.</t>
        </is>
      </c>
      <c r="C267" s="471" t="n"/>
      <c r="D267" s="471" t="n"/>
      <c r="E267" s="471" t="n"/>
      <c r="F267" s="471" t="n"/>
      <c r="G267" s="492" t="n"/>
      <c r="H267" s="492" t="n"/>
      <c r="I267" s="492" t="n"/>
      <c r="J267" s="492" t="n"/>
      <c r="K267" s="493" t="n"/>
      <c r="L267" s="9" t="n"/>
      <c r="M267" s="9" t="n"/>
      <c r="N267" s="9" t="n"/>
      <c r="O267" s="9" t="n"/>
      <c r="P267" s="9" t="n"/>
      <c r="Q267" s="9" t="n"/>
      <c r="R267" s="9" t="n"/>
    </row>
    <row r="268" ht="94.5" customHeight="1">
      <c r="A268" s="626" t="n"/>
      <c r="B268" s="494" t="n"/>
      <c r="C268" s="495" t="n"/>
      <c r="D268" s="495" t="n"/>
      <c r="E268" s="495" t="n"/>
      <c r="F268" s="495" t="n"/>
      <c r="G268" s="496" t="n"/>
      <c r="H268" s="496" t="n"/>
      <c r="I268" s="496" t="n"/>
      <c r="J268" s="496" t="n"/>
      <c r="K268" s="497" t="n"/>
      <c r="L268" s="9" t="n"/>
      <c r="M268" s="9" t="n"/>
      <c r="N268" s="9" t="n"/>
      <c r="O268" s="9" t="n"/>
      <c r="P268" s="9" t="n"/>
      <c r="Q268" s="9" t="n"/>
      <c r="R268" s="9" t="n"/>
    </row>
    <row r="269" ht="21" customHeight="1">
      <c r="A269" s="299" t="inlineStr">
        <is>
          <t xml:space="preserve">　電気設備日常点検（３/３）</t>
        </is>
      </c>
      <c r="B269" s="128" t="n"/>
      <c r="C269" s="128" t="n"/>
      <c r="D269" s="128" t="n"/>
      <c r="E269" s="128" t="n"/>
      <c r="F269" s="128" t="n"/>
      <c r="G269" s="128" t="n"/>
      <c r="H269" s="128" t="n"/>
      <c r="I269" s="128" t="n"/>
      <c r="J269" s="128" t="n"/>
      <c r="K269" s="355">
        <f>K1</f>
        <v/>
      </c>
      <c r="L269" s="9" t="n"/>
      <c r="M269" s="9" t="n"/>
      <c r="N269" s="9" t="n"/>
      <c r="O269" s="9" t="n"/>
      <c r="P269" s="9" t="n"/>
      <c r="Q269" s="9" t="n"/>
      <c r="R269" s="9" t="n"/>
    </row>
    <row r="270" ht="13.5" customHeight="1">
      <c r="A270" s="768" t="n"/>
      <c r="B270" s="765" t="inlineStr">
        <is>
          <t>機器名</t>
        </is>
      </c>
      <c r="C270" s="587" t="n"/>
      <c r="D270" s="765" t="inlineStr">
        <is>
          <t>点　　検　　者　　氏　　名</t>
        </is>
      </c>
      <c r="E270" s="574" t="n"/>
      <c r="F270" s="580" t="n"/>
      <c r="G270" s="308" t="n"/>
      <c r="H270" s="309" t="n"/>
      <c r="I270" s="309" t="n"/>
      <c r="J270" s="309" t="n"/>
      <c r="K270" s="392" t="n"/>
      <c r="L270" s="9" t="n"/>
      <c r="M270" s="9" t="n"/>
      <c r="N270" s="9" t="n"/>
      <c r="O270" s="9" t="n"/>
      <c r="P270" s="9" t="n"/>
      <c r="Q270" s="9" t="n"/>
      <c r="R270" s="9" t="n"/>
    </row>
    <row r="271" ht="13.5" customHeight="1">
      <c r="A271" s="626" t="n"/>
      <c r="B271" s="590" t="n"/>
      <c r="C271" s="591" t="n"/>
      <c r="D271" s="765" t="inlineStr">
        <is>
          <t>点　　　検　　　内　　　容</t>
        </is>
      </c>
      <c r="E271" s="574" t="n"/>
      <c r="F271" s="580" t="n"/>
      <c r="G271" s="949" t="n"/>
      <c r="H271" s="948" t="n"/>
      <c r="I271" s="948" t="n"/>
      <c r="J271" s="948" t="n"/>
      <c r="K271" s="948" t="n"/>
      <c r="L271" s="9" t="n"/>
      <c r="M271" s="9" t="n"/>
      <c r="N271" s="9" t="n"/>
      <c r="O271" s="9" t="n"/>
      <c r="P271" s="9" t="n"/>
      <c r="Q271" s="9" t="n"/>
      <c r="R271" s="9" t="n"/>
    </row>
    <row r="272" ht="16.5" customHeight="1">
      <c r="A272" s="759" t="inlineStr">
        <is>
          <t>計装設備</t>
        </is>
      </c>
      <c r="B272" s="763" t="inlineStr">
        <is>
          <t>全窒素・全燐計</t>
        </is>
      </c>
      <c r="C272" s="587" t="n"/>
      <c r="D272" s="758" t="inlineStr">
        <is>
          <t>外観の確認</t>
        </is>
      </c>
      <c r="E272" s="583" t="n"/>
      <c r="F272" s="445" t="n"/>
      <c r="G272" s="332" t="n"/>
      <c r="H272" s="333" t="n"/>
      <c r="I272" s="333" t="n"/>
      <c r="J272" s="333" t="n"/>
      <c r="K272" s="400" t="n"/>
      <c r="L272" s="9" t="n"/>
      <c r="M272" s="9" t="n"/>
      <c r="N272" s="9" t="n"/>
      <c r="O272" s="9" t="n"/>
      <c r="P272" s="9" t="n"/>
      <c r="Q272" s="9" t="n"/>
      <c r="R272" s="9" t="n"/>
    </row>
    <row r="273" ht="16.5" customHeight="1">
      <c r="A273" s="679" t="n"/>
      <c r="B273" s="613" t="n"/>
      <c r="C273" s="602" t="n"/>
      <c r="D273" s="757" t="inlineStr">
        <is>
          <t>指示状況の確認</t>
        </is>
      </c>
      <c r="E273" s="577" t="n"/>
      <c r="F273" s="459" t="n"/>
      <c r="G273" s="448" t="n"/>
      <c r="H273" s="447" t="n"/>
      <c r="I273" s="447" t="n"/>
      <c r="J273" s="447" t="n"/>
      <c r="K273" s="514" t="n"/>
      <c r="L273" s="9" t="n"/>
      <c r="M273" s="9" t="n"/>
      <c r="N273" s="9" t="n"/>
      <c r="O273" s="9" t="n"/>
      <c r="P273" s="9" t="n"/>
      <c r="Q273" s="9" t="n"/>
      <c r="R273" s="9" t="n"/>
    </row>
    <row r="274" ht="16.5" customHeight="1">
      <c r="A274" s="679" t="n"/>
      <c r="B274" s="613" t="n"/>
      <c r="C274" s="602" t="n"/>
      <c r="D274" s="757" t="inlineStr">
        <is>
          <t>計器読み（全窒素）</t>
        </is>
      </c>
      <c r="E274" s="577" t="n"/>
      <c r="F274" s="459" t="inlineStr">
        <is>
          <t>㎎/ℓ</t>
        </is>
      </c>
      <c r="G274" s="467" t="n"/>
      <c r="H274" s="466" t="n"/>
      <c r="I274" s="466" t="n"/>
      <c r="J274" s="466" t="n"/>
      <c r="K274" s="521" t="n"/>
      <c r="L274" s="9" t="n"/>
      <c r="M274" s="9" t="n"/>
      <c r="N274" s="9" t="n"/>
      <c r="O274" s="9" t="n"/>
      <c r="P274" s="9" t="n"/>
      <c r="Q274" s="9" t="n"/>
      <c r="R274" s="9" t="n"/>
    </row>
    <row r="275" ht="16.5" customHeight="1">
      <c r="A275" s="679" t="n"/>
      <c r="B275" s="590" t="n"/>
      <c r="C275" s="591" t="n"/>
      <c r="D275" s="772" t="inlineStr">
        <is>
          <t>計器読み（全りん）</t>
        </is>
      </c>
      <c r="E275" s="608" t="n"/>
      <c r="F275" s="449" t="inlineStr">
        <is>
          <t>㎎/ℓ</t>
        </is>
      </c>
      <c r="G275" s="451" t="n"/>
      <c r="H275" s="450" t="n"/>
      <c r="I275" s="450" t="n"/>
      <c r="J275" s="450" t="n"/>
      <c r="K275" s="515" t="n"/>
      <c r="L275" s="9" t="n"/>
      <c r="M275" s="9" t="n"/>
      <c r="N275" s="9" t="n"/>
      <c r="O275" s="9" t="n"/>
      <c r="P275" s="9" t="n"/>
      <c r="Q275" s="9" t="n"/>
      <c r="R275" s="9" t="n"/>
    </row>
    <row r="276" ht="16.5" customHeight="1">
      <c r="A276" s="679" t="n"/>
      <c r="B276" s="767" t="inlineStr">
        <is>
          <t>圧力式液位計</t>
        </is>
      </c>
      <c r="C276" s="587" t="n"/>
      <c r="D276" s="758" t="inlineStr">
        <is>
          <t>外観の確認</t>
        </is>
      </c>
      <c r="E276" s="482" t="n"/>
      <c r="F276" s="445" t="n"/>
      <c r="G276" s="332" t="n"/>
      <c r="H276" s="333" t="n"/>
      <c r="I276" s="333" t="n"/>
      <c r="J276" s="333" t="n"/>
      <c r="K276" s="400" t="n"/>
      <c r="L276" s="9" t="n"/>
      <c r="M276" s="9" t="n"/>
      <c r="N276" s="9" t="n"/>
      <c r="O276" s="9" t="n"/>
      <c r="P276" s="9" t="n"/>
      <c r="Q276" s="9" t="n"/>
      <c r="R276" s="9" t="n"/>
    </row>
    <row r="277" ht="16.5" customHeight="1">
      <c r="A277" s="679" t="n"/>
      <c r="B277" s="613" t="n"/>
      <c r="C277" s="602" t="n"/>
      <c r="D277" s="757" t="inlineStr">
        <is>
          <t>指示状況の確認</t>
        </is>
      </c>
      <c r="E277" s="483" t="n"/>
      <c r="F277" s="459" t="n"/>
      <c r="G277" s="448" t="n"/>
      <c r="H277" s="447" t="n"/>
      <c r="I277" s="447" t="n"/>
      <c r="J277" s="447" t="n"/>
      <c r="K277" s="514" t="n"/>
      <c r="L277" s="9" t="n"/>
      <c r="M277" s="9" t="n"/>
      <c r="N277" s="9" t="n"/>
      <c r="O277" s="9" t="n"/>
      <c r="P277" s="9" t="n"/>
      <c r="Q277" s="9" t="n"/>
      <c r="R277" s="9" t="n"/>
    </row>
    <row r="278" ht="16.5" customHeight="1">
      <c r="A278" s="626" t="n"/>
      <c r="B278" s="590" t="n"/>
      <c r="C278" s="591" t="n"/>
      <c r="D278" s="772" t="inlineStr">
        <is>
          <t>機器指示地の記録</t>
        </is>
      </c>
      <c r="E278" s="484" t="n"/>
      <c r="F278" s="449" t="inlineStr">
        <is>
          <t>ｍ</t>
        </is>
      </c>
      <c r="G278" s="947" t="n"/>
      <c r="H278" s="946" t="n"/>
      <c r="I278" s="946" t="n"/>
      <c r="J278" s="946" t="n"/>
      <c r="K278" s="963" t="n"/>
      <c r="L278" s="9" t="n"/>
      <c r="M278" s="9" t="n"/>
      <c r="N278" s="9" t="n"/>
      <c r="O278" s="9" t="n"/>
      <c r="P278" s="9" t="n"/>
      <c r="Q278" s="9" t="n"/>
      <c r="R278" s="9" t="n"/>
    </row>
    <row r="279" ht="16.5" customHeight="1">
      <c r="A279" s="780" t="inlineStr">
        <is>
          <t>発電機設備</t>
        </is>
      </c>
      <c r="B279" s="776" t="inlineStr">
        <is>
          <t>発電機盤</t>
        </is>
      </c>
      <c r="C279" s="580" t="n"/>
      <c r="D279" s="769" t="inlineStr">
        <is>
          <t>外観の確認</t>
        </is>
      </c>
      <c r="E279" s="574" t="n"/>
      <c r="F279" s="307" t="n"/>
      <c r="G279" s="308" t="n"/>
      <c r="H279" s="309" t="n"/>
      <c r="I279" s="309" t="n"/>
      <c r="J279" s="309" t="n"/>
      <c r="K279" s="392" t="n"/>
      <c r="L279" s="9" t="n"/>
      <c r="M279" s="9" t="n"/>
      <c r="N279" s="9" t="n"/>
      <c r="O279" s="9" t="n"/>
      <c r="P279" s="9" t="n"/>
      <c r="Q279" s="9" t="n"/>
      <c r="R279" s="9" t="n"/>
    </row>
    <row r="280" ht="16.5" customHeight="1">
      <c r="A280" s="679" t="n"/>
      <c r="B280" s="776" t="inlineStr">
        <is>
          <t>エンジン</t>
        </is>
      </c>
      <c r="C280" s="580" t="n"/>
      <c r="D280" s="769" t="inlineStr">
        <is>
          <t>外観の確認</t>
        </is>
      </c>
      <c r="E280" s="574" t="n"/>
      <c r="F280" s="307" t="n"/>
      <c r="G280" s="332" t="n"/>
      <c r="H280" s="333" t="n"/>
      <c r="I280" s="333" t="n"/>
      <c r="J280" s="333" t="n"/>
      <c r="K280" s="400" t="n"/>
      <c r="L280" s="9" t="n"/>
      <c r="M280" s="9" t="n"/>
      <c r="N280" s="9" t="n"/>
      <c r="O280" s="9" t="n"/>
      <c r="P280" s="9" t="n"/>
      <c r="Q280" s="9" t="n"/>
      <c r="R280" s="9" t="n"/>
    </row>
    <row r="281" ht="16.5" customHeight="1">
      <c r="A281" s="679" t="n"/>
      <c r="B281" s="776" t="inlineStr">
        <is>
          <t>燃料タンク</t>
        </is>
      </c>
      <c r="C281" s="587" t="n"/>
      <c r="D281" s="758" t="inlineStr">
        <is>
          <t>外観の確認</t>
        </is>
      </c>
      <c r="E281" s="583" t="n"/>
      <c r="F281" s="445" t="n"/>
      <c r="G281" s="332" t="n"/>
      <c r="H281" s="333" t="n"/>
      <c r="I281" s="333" t="n"/>
      <c r="J281" s="333" t="n"/>
      <c r="K281" s="400" t="n"/>
      <c r="L281" s="9" t="n"/>
      <c r="M281" s="9" t="n"/>
      <c r="N281" s="9" t="n"/>
      <c r="O281" s="9" t="n"/>
      <c r="P281" s="9" t="n"/>
      <c r="Q281" s="9" t="n"/>
      <c r="R281" s="9" t="n"/>
    </row>
    <row r="282" ht="16.5" customHeight="1">
      <c r="A282" s="679" t="n"/>
      <c r="B282" s="598" t="n"/>
      <c r="C282" s="591" t="n"/>
      <c r="D282" s="772" t="inlineStr">
        <is>
          <t>残量の値</t>
        </is>
      </c>
      <c r="E282" s="608" t="n"/>
      <c r="F282" s="449" t="inlineStr">
        <is>
          <t>ℓ</t>
        </is>
      </c>
      <c r="G282" s="486" t="n"/>
      <c r="H282" s="485" t="n"/>
      <c r="I282" s="485" t="n"/>
      <c r="J282" s="485" t="n"/>
      <c r="K282" s="526" t="n"/>
      <c r="L282" s="9" t="n"/>
      <c r="M282" s="9" t="n"/>
      <c r="N282" s="9" t="n"/>
      <c r="O282" s="9" t="n"/>
      <c r="P282" s="9" t="n"/>
      <c r="Q282" s="9" t="n"/>
      <c r="R282" s="9" t="n"/>
    </row>
    <row r="283" ht="16.5" customHeight="1">
      <c r="A283" s="759" t="inlineStr">
        <is>
          <t>他</t>
        </is>
      </c>
      <c r="B283" s="763" t="inlineStr">
        <is>
          <t>通報装置</t>
        </is>
      </c>
      <c r="C283" s="580" t="n"/>
      <c r="D283" s="769" t="inlineStr">
        <is>
          <t>通報状態の確認</t>
        </is>
      </c>
      <c r="E283" s="574" t="n"/>
      <c r="F283" s="307" t="n"/>
      <c r="G283" s="308" t="n"/>
      <c r="H283" s="309" t="n"/>
      <c r="I283" s="309" t="n"/>
      <c r="J283" s="309" t="n"/>
      <c r="K283" s="392" t="n"/>
      <c r="L283" s="9" t="n"/>
      <c r="M283" s="9" t="n"/>
      <c r="N283" s="9" t="n"/>
      <c r="O283" s="9" t="n"/>
      <c r="P283" s="9" t="n"/>
      <c r="Q283" s="9" t="n"/>
      <c r="R283" s="9" t="n"/>
    </row>
    <row r="284" ht="16.5" customHeight="1">
      <c r="A284" s="487" t="n"/>
      <c r="B284" s="747" t="inlineStr">
        <is>
          <t>○：良　　△：要注意　　×要修理</t>
        </is>
      </c>
      <c r="C284" s="747" t="n"/>
      <c r="D284" s="747" t="n"/>
      <c r="E284" s="747" t="n"/>
      <c r="F284" s="488" t="n"/>
      <c r="G284" s="489" t="n"/>
      <c r="H284" s="489" t="n"/>
      <c r="I284" s="489" t="n"/>
      <c r="J284" s="507" t="n"/>
      <c r="K284" s="491" t="n"/>
      <c r="L284" s="9" t="n"/>
      <c r="M284" s="9" t="n"/>
      <c r="N284" s="9" t="n"/>
      <c r="O284" s="9" t="n"/>
      <c r="P284" s="9" t="n"/>
      <c r="Q284" s="9" t="n"/>
      <c r="R284" s="9" t="n"/>
    </row>
    <row r="285" ht="16.5" customHeight="1">
      <c r="A285" s="759" t="inlineStr">
        <is>
          <t>備　　　　　考</t>
        </is>
      </c>
      <c r="B285" s="470" t="n"/>
      <c r="C285" s="471" t="n"/>
      <c r="D285" s="471" t="n"/>
      <c r="E285" s="471" t="n"/>
      <c r="F285" s="471" t="n"/>
      <c r="G285" s="492" t="n"/>
      <c r="H285" s="492" t="n"/>
      <c r="I285" s="492" t="n"/>
      <c r="J285" s="476" t="n"/>
      <c r="K285" s="493" t="n"/>
      <c r="L285" s="9" t="n"/>
      <c r="M285" s="9" t="n"/>
      <c r="N285" s="9" t="n"/>
      <c r="O285" s="9" t="n"/>
      <c r="P285" s="9" t="n"/>
      <c r="Q285" s="9" t="n"/>
      <c r="R285" s="9" t="n"/>
    </row>
    <row r="286" ht="16.5" customHeight="1">
      <c r="A286" s="679" t="n"/>
      <c r="B286" s="474" t="n"/>
      <c r="C286" s="475" t="n"/>
      <c r="D286" s="475" t="n"/>
      <c r="E286" s="475" t="n"/>
      <c r="F286" s="475" t="n"/>
      <c r="G286" s="476" t="n"/>
      <c r="H286" s="476" t="n"/>
      <c r="I286" s="476" t="n"/>
      <c r="J286" s="476" t="n"/>
      <c r="K286" s="477" t="n"/>
      <c r="L286" s="9" t="n"/>
      <c r="M286" s="9" t="n"/>
      <c r="N286" s="9" t="n"/>
      <c r="O286" s="9" t="n"/>
      <c r="P286" s="9" t="n"/>
      <c r="Q286" s="9" t="n"/>
      <c r="R286" s="9" t="n"/>
    </row>
    <row r="287" ht="16.5" customHeight="1">
      <c r="A287" s="679" t="n"/>
      <c r="B287" s="474" t="n"/>
      <c r="C287" s="475" t="n"/>
      <c r="D287" s="475" t="n"/>
      <c r="E287" s="475" t="n"/>
      <c r="F287" s="475" t="n"/>
      <c r="G287" s="476" t="n"/>
      <c r="H287" s="476" t="n"/>
      <c r="I287" s="476" t="n"/>
      <c r="J287" s="476" t="n"/>
      <c r="K287" s="477" t="n"/>
      <c r="L287" s="9" t="n"/>
      <c r="M287" s="9" t="n"/>
      <c r="N287" s="9" t="n"/>
      <c r="O287" s="9" t="n"/>
      <c r="P287" s="9" t="n"/>
      <c r="Q287" s="9" t="n"/>
      <c r="R287" s="9" t="n"/>
    </row>
    <row r="288" ht="16.5" customHeight="1">
      <c r="A288" s="679" t="n"/>
      <c r="B288" s="474" t="n"/>
      <c r="C288" s="475" t="n"/>
      <c r="D288" s="475" t="n"/>
      <c r="E288" s="475" t="n"/>
      <c r="F288" s="475" t="n"/>
      <c r="G288" s="476" t="n"/>
      <c r="H288" s="476" t="n"/>
      <c r="I288" s="476" t="n"/>
      <c r="J288" s="476" t="n"/>
      <c r="K288" s="477" t="n"/>
      <c r="L288" s="9" t="n"/>
      <c r="M288" s="9" t="n"/>
      <c r="N288" s="9" t="n"/>
      <c r="O288" s="9" t="n"/>
      <c r="P288" s="9" t="n"/>
      <c r="Q288" s="9" t="n"/>
      <c r="R288" s="9" t="n"/>
    </row>
    <row r="289" ht="16.5" customHeight="1">
      <c r="A289" s="679" t="n"/>
      <c r="B289" s="474" t="n"/>
      <c r="C289" s="475" t="n"/>
      <c r="D289" s="475" t="n"/>
      <c r="E289" s="475" t="n"/>
      <c r="F289" s="475" t="n"/>
      <c r="G289" s="476" t="n"/>
      <c r="H289" s="476" t="n"/>
      <c r="I289" s="476" t="n"/>
      <c r="J289" s="476" t="n"/>
      <c r="K289" s="477" t="n"/>
      <c r="L289" s="9" t="n"/>
      <c r="M289" s="9" t="n"/>
      <c r="N289" s="9" t="n"/>
      <c r="O289" s="9" t="n"/>
      <c r="P289" s="9" t="n"/>
      <c r="Q289" s="9" t="n"/>
      <c r="R289" s="9" t="n"/>
    </row>
    <row r="290" ht="16.5" customHeight="1">
      <c r="A290" s="679" t="n"/>
      <c r="B290" s="474" t="n"/>
      <c r="C290" s="475" t="n"/>
      <c r="D290" s="475" t="n"/>
      <c r="E290" s="475" t="n"/>
      <c r="F290" s="475" t="n"/>
      <c r="G290" s="476" t="n"/>
      <c r="H290" s="476" t="n"/>
      <c r="I290" s="476" t="n"/>
      <c r="J290" s="476" t="n"/>
      <c r="K290" s="477" t="n"/>
      <c r="L290" s="9" t="n"/>
      <c r="M290" s="9" t="n"/>
      <c r="N290" s="9" t="n"/>
      <c r="O290" s="9" t="n"/>
      <c r="P290" s="9" t="n"/>
      <c r="Q290" s="9" t="n"/>
      <c r="R290" s="9" t="n"/>
    </row>
    <row r="291" ht="16.5" customHeight="1">
      <c r="A291" s="679" t="n"/>
      <c r="B291" s="474" t="n"/>
      <c r="C291" s="475" t="n"/>
      <c r="D291" s="475" t="n"/>
      <c r="E291" s="475" t="n"/>
      <c r="F291" s="475" t="n"/>
      <c r="G291" s="476" t="n"/>
      <c r="H291" s="476" t="n"/>
      <c r="I291" s="476" t="n"/>
      <c r="J291" s="476" t="n"/>
      <c r="K291" s="477" t="n"/>
      <c r="L291" s="9" t="n"/>
      <c r="M291" s="9" t="n"/>
      <c r="N291" s="9" t="n"/>
      <c r="O291" s="9" t="n"/>
      <c r="P291" s="9" t="n"/>
      <c r="Q291" s="9" t="n"/>
      <c r="R291" s="9" t="n"/>
    </row>
    <row r="292" ht="16.5" customHeight="1">
      <c r="A292" s="679" t="n"/>
      <c r="B292" s="474" t="n"/>
      <c r="C292" s="475" t="n"/>
      <c r="D292" s="475" t="n"/>
      <c r="E292" s="475" t="n"/>
      <c r="F292" s="475" t="n"/>
      <c r="G292" s="476" t="n"/>
      <c r="H292" s="476" t="n"/>
      <c r="I292" s="476" t="n"/>
      <c r="J292" s="476" t="n"/>
      <c r="K292" s="477" t="n"/>
      <c r="L292" s="9" t="n"/>
      <c r="M292" s="9" t="n"/>
      <c r="N292" s="9" t="n"/>
      <c r="O292" s="9" t="n"/>
      <c r="P292" s="9" t="n"/>
      <c r="Q292" s="9" t="n"/>
      <c r="R292" s="9" t="n"/>
    </row>
    <row r="293" ht="16.5" customHeight="1">
      <c r="A293" s="679" t="n"/>
      <c r="B293" s="474" t="n"/>
      <c r="C293" s="475" t="n"/>
      <c r="D293" s="475" t="n"/>
      <c r="E293" s="475" t="n"/>
      <c r="F293" s="475" t="n"/>
      <c r="G293" s="476" t="n"/>
      <c r="H293" s="476" t="n"/>
      <c r="I293" s="476" t="n"/>
      <c r="J293" s="476" t="n"/>
      <c r="K293" s="477" t="n"/>
      <c r="L293" s="9" t="n"/>
      <c r="M293" s="9" t="n"/>
      <c r="N293" s="9" t="n"/>
      <c r="O293" s="9" t="n"/>
      <c r="P293" s="9" t="n"/>
      <c r="Q293" s="9" t="n"/>
      <c r="R293" s="9" t="n"/>
    </row>
    <row r="294" ht="16.5" customHeight="1">
      <c r="A294" s="679" t="n"/>
      <c r="B294" s="474" t="n"/>
      <c r="C294" s="475" t="n"/>
      <c r="D294" s="475" t="n"/>
      <c r="E294" s="475" t="n"/>
      <c r="F294" s="475" t="n"/>
      <c r="G294" s="476" t="n"/>
      <c r="H294" s="476" t="n"/>
      <c r="I294" s="476" t="n"/>
      <c r="J294" s="476" t="n"/>
      <c r="K294" s="477" t="n"/>
      <c r="L294" s="9" t="n"/>
      <c r="M294" s="9" t="n"/>
      <c r="N294" s="9" t="n"/>
      <c r="O294" s="9" t="n"/>
      <c r="P294" s="9" t="n"/>
      <c r="Q294" s="9" t="n"/>
      <c r="R294" s="9" t="n"/>
    </row>
    <row r="295" ht="16.5" customHeight="1">
      <c r="A295" s="679" t="n"/>
      <c r="B295" s="474" t="n"/>
      <c r="C295" s="475" t="n"/>
      <c r="D295" s="475" t="n"/>
      <c r="E295" s="475" t="n"/>
      <c r="F295" s="475" t="n"/>
      <c r="G295" s="476" t="n"/>
      <c r="H295" s="476" t="n"/>
      <c r="I295" s="476" t="n"/>
      <c r="J295" s="476" t="n"/>
      <c r="K295" s="477" t="n"/>
      <c r="L295" s="9" t="n"/>
      <c r="M295" s="9" t="n"/>
      <c r="N295" s="9" t="n"/>
      <c r="O295" s="9" t="n"/>
      <c r="P295" s="9" t="n"/>
      <c r="Q295" s="9" t="n"/>
      <c r="R295" s="9" t="n"/>
    </row>
    <row r="296" ht="16.5" customHeight="1">
      <c r="A296" s="679" t="n"/>
      <c r="B296" s="474" t="n"/>
      <c r="C296" s="475" t="n"/>
      <c r="D296" s="475" t="n"/>
      <c r="E296" s="475" t="n"/>
      <c r="F296" s="475" t="n"/>
      <c r="G296" s="476" t="n"/>
      <c r="H296" s="476" t="n"/>
      <c r="I296" s="476" t="n"/>
      <c r="J296" s="476" t="n"/>
      <c r="K296" s="477" t="n"/>
      <c r="L296" s="9" t="n"/>
      <c r="M296" s="9" t="n"/>
      <c r="N296" s="9" t="n"/>
      <c r="O296" s="9" t="n"/>
      <c r="P296" s="9" t="n"/>
      <c r="Q296" s="9" t="n"/>
      <c r="R296" s="9" t="n"/>
    </row>
    <row r="297" ht="16.5" customHeight="1">
      <c r="A297" s="679" t="n"/>
      <c r="B297" s="474" t="n"/>
      <c r="C297" s="475" t="n"/>
      <c r="D297" s="475" t="n"/>
      <c r="E297" s="475" t="n"/>
      <c r="F297" s="475" t="n"/>
      <c r="G297" s="476" t="n"/>
      <c r="H297" s="476" t="n"/>
      <c r="I297" s="476" t="n"/>
      <c r="J297" s="476" t="n"/>
      <c r="K297" s="477" t="n"/>
      <c r="L297" s="9" t="n"/>
      <c r="M297" s="9" t="n"/>
      <c r="N297" s="9" t="n"/>
      <c r="O297" s="9" t="n"/>
      <c r="P297" s="9" t="n"/>
      <c r="Q297" s="9" t="n"/>
      <c r="R297" s="9" t="n"/>
    </row>
    <row r="298" ht="16.5" customHeight="1">
      <c r="A298" s="679" t="n"/>
      <c r="B298" s="474" t="n"/>
      <c r="C298" s="475" t="n"/>
      <c r="D298" s="475" t="n"/>
      <c r="E298" s="475" t="n"/>
      <c r="F298" s="475" t="n"/>
      <c r="G298" s="476" t="n"/>
      <c r="H298" s="476" t="n"/>
      <c r="I298" s="476" t="n"/>
      <c r="J298" s="476" t="n"/>
      <c r="K298" s="477" t="n"/>
      <c r="L298" s="9" t="n"/>
      <c r="M298" s="9" t="n"/>
      <c r="N298" s="9" t="n"/>
      <c r="O298" s="9" t="n"/>
      <c r="P298" s="9" t="n"/>
      <c r="Q298" s="9" t="n"/>
      <c r="R298" s="9" t="n"/>
    </row>
    <row r="299" ht="16.5" customHeight="1">
      <c r="A299" s="679" t="n"/>
      <c r="B299" s="474" t="n"/>
      <c r="C299" s="475" t="n"/>
      <c r="D299" s="475" t="n"/>
      <c r="E299" s="475" t="n"/>
      <c r="F299" s="475" t="n"/>
      <c r="G299" s="476" t="n"/>
      <c r="H299" s="476" t="n"/>
      <c r="I299" s="476" t="n"/>
      <c r="J299" s="476" t="n"/>
      <c r="K299" s="477" t="n"/>
      <c r="L299" s="9" t="n"/>
      <c r="M299" s="9" t="n"/>
      <c r="N299" s="9" t="n"/>
      <c r="O299" s="9" t="n"/>
      <c r="P299" s="9" t="n"/>
      <c r="Q299" s="9" t="n"/>
      <c r="R299" s="9" t="n"/>
    </row>
    <row r="300" ht="16.5" customHeight="1">
      <c r="A300" s="679" t="n"/>
      <c r="B300" s="474" t="n"/>
      <c r="C300" s="475" t="n"/>
      <c r="D300" s="475" t="n"/>
      <c r="E300" s="475" t="n"/>
      <c r="F300" s="475" t="n"/>
      <c r="G300" s="476" t="n"/>
      <c r="H300" s="476" t="n"/>
      <c r="I300" s="476" t="n"/>
      <c r="J300" s="476" t="n"/>
      <c r="K300" s="477" t="n"/>
      <c r="L300" s="9" t="n"/>
      <c r="M300" s="9" t="n"/>
      <c r="N300" s="9" t="n"/>
      <c r="O300" s="9" t="n"/>
      <c r="P300" s="9" t="n"/>
      <c r="Q300" s="9" t="n"/>
      <c r="R300" s="9" t="n"/>
    </row>
    <row r="301" ht="16.5" customHeight="1">
      <c r="A301" s="679" t="n"/>
      <c r="B301" s="474" t="n"/>
      <c r="C301" s="475" t="n"/>
      <c r="D301" s="475" t="n"/>
      <c r="E301" s="475" t="n"/>
      <c r="F301" s="475" t="n"/>
      <c r="G301" s="476" t="n"/>
      <c r="H301" s="476" t="n"/>
      <c r="I301" s="476" t="n"/>
      <c r="J301" s="476" t="n"/>
      <c r="K301" s="477" t="n"/>
      <c r="L301" s="9" t="n"/>
      <c r="M301" s="9" t="n"/>
      <c r="N301" s="9" t="n"/>
      <c r="O301" s="9" t="n"/>
      <c r="P301" s="9" t="n"/>
      <c r="Q301" s="9" t="n"/>
      <c r="R301" s="9" t="n"/>
    </row>
    <row r="302" ht="16.5" customHeight="1">
      <c r="A302" s="679" t="n"/>
      <c r="B302" s="474" t="n"/>
      <c r="C302" s="475" t="n"/>
      <c r="D302" s="475" t="n"/>
      <c r="E302" s="475" t="n"/>
      <c r="F302" s="475" t="n"/>
      <c r="G302" s="476" t="n"/>
      <c r="H302" s="476" t="n"/>
      <c r="I302" s="476" t="n"/>
      <c r="J302" s="476" t="n"/>
      <c r="K302" s="477" t="n"/>
      <c r="L302" s="9" t="n"/>
      <c r="M302" s="9" t="n"/>
      <c r="N302" s="9" t="n"/>
      <c r="O302" s="9" t="n"/>
      <c r="P302" s="9" t="n"/>
      <c r="Q302" s="9" t="n"/>
      <c r="R302" s="9" t="n"/>
    </row>
    <row r="303" ht="16.5" customHeight="1">
      <c r="A303" s="626" t="n"/>
      <c r="B303" s="494" t="n"/>
      <c r="C303" s="495" t="n"/>
      <c r="D303" s="495" t="n"/>
      <c r="E303" s="495" t="n"/>
      <c r="F303" s="495" t="n"/>
      <c r="G303" s="496" t="n"/>
      <c r="H303" s="496" t="n"/>
      <c r="I303" s="496" t="n"/>
      <c r="J303" s="496" t="n"/>
      <c r="K303" s="497" t="n"/>
      <c r="L303" s="9" t="n"/>
      <c r="M303" s="9" t="n"/>
      <c r="N303" s="9" t="n"/>
      <c r="O303" s="9" t="n"/>
      <c r="P303" s="9" t="n"/>
      <c r="Q303" s="9" t="n"/>
      <c r="R303" s="9" t="n"/>
    </row>
    <row r="304" ht="21" customHeight="1">
      <c r="A304" s="299" t="inlineStr">
        <is>
          <t xml:space="preserve">　電気設備日常点検（１/３）</t>
        </is>
      </c>
      <c r="B304" s="128" t="n"/>
      <c r="C304" s="128" t="n"/>
      <c r="D304" s="128" t="n"/>
      <c r="E304" s="128" t="n"/>
      <c r="F304" s="128" t="n"/>
      <c r="G304" s="128" t="n"/>
      <c r="H304" s="128" t="n"/>
      <c r="I304" s="128" t="n"/>
      <c r="J304" s="128" t="n"/>
      <c r="K304" s="355">
        <f>K1</f>
        <v/>
      </c>
      <c r="L304" s="9" t="n"/>
      <c r="M304" s="9" t="n"/>
      <c r="N304" s="9" t="n"/>
      <c r="O304" s="9" t="n"/>
      <c r="P304" s="9" t="n"/>
      <c r="Q304" s="9" t="n"/>
      <c r="R304" s="9" t="n"/>
    </row>
    <row r="305" ht="13.5" customHeight="1">
      <c r="A305" s="128" t="n"/>
      <c r="B305" s="128" t="n"/>
      <c r="C305" s="128" t="n"/>
      <c r="D305" s="128" t="n"/>
      <c r="E305" s="128" t="n"/>
      <c r="F305" s="128" t="n"/>
      <c r="G305" s="949" t="n"/>
      <c r="H305" s="948" t="n"/>
      <c r="I305" s="948" t="n"/>
      <c r="J305" s="948" t="n"/>
      <c r="K305" s="948" t="n"/>
      <c r="L305" s="9" t="n"/>
      <c r="M305" s="9" t="n"/>
      <c r="N305" s="9" t="n"/>
      <c r="O305" s="9" t="n"/>
      <c r="P305" s="9" t="n"/>
      <c r="Q305" s="9" t="n"/>
      <c r="R305" s="9" t="n"/>
    </row>
    <row r="306" ht="17.25" customHeight="1">
      <c r="A306" s="775" t="inlineStr">
        <is>
          <t>電　　　　　気　　　　　室</t>
        </is>
      </c>
      <c r="B306" s="775" t="inlineStr">
        <is>
          <t>引込・受電</t>
        </is>
      </c>
      <c r="C306" s="763" t="inlineStr">
        <is>
          <t>電圧</t>
        </is>
      </c>
      <c r="D306" s="586" t="n"/>
      <c r="E306" s="587" t="n"/>
      <c r="F306" s="414" t="inlineStr">
        <is>
          <t>KV</t>
        </is>
      </c>
      <c r="G306" s="932" t="n"/>
      <c r="H306" s="933" t="n"/>
      <c r="I306" s="933" t="n"/>
      <c r="J306" s="933" t="n"/>
      <c r="K306" s="933" t="n"/>
      <c r="L306" s="9" t="n"/>
      <c r="M306" s="9" t="n"/>
      <c r="N306" s="9" t="n"/>
      <c r="O306" s="9" t="n"/>
      <c r="P306" s="9" t="n"/>
      <c r="Q306" s="9" t="n"/>
      <c r="R306" s="9" t="n"/>
    </row>
    <row r="307" ht="17.25" customHeight="1">
      <c r="A307" s="679" t="n"/>
      <c r="B307" s="679" t="n"/>
      <c r="C307" s="590" t="n"/>
      <c r="D307" s="598" t="n"/>
      <c r="E307" s="591" t="n"/>
      <c r="F307" s="415" t="inlineStr">
        <is>
          <t>モード</t>
        </is>
      </c>
      <c r="G307" s="426" t="n"/>
      <c r="H307" s="426" t="n"/>
      <c r="I307" s="426" t="n"/>
      <c r="J307" s="426" t="n"/>
      <c r="K307" s="426" t="n"/>
      <c r="L307" s="9" t="n"/>
      <c r="M307" s="9" t="n"/>
      <c r="N307" s="9" t="n"/>
      <c r="O307" s="9" t="n"/>
      <c r="P307" s="9" t="n"/>
      <c r="Q307" s="9" t="n"/>
      <c r="R307" s="9" t="n"/>
    </row>
    <row r="308" ht="17.25" customHeight="1">
      <c r="A308" s="679" t="n"/>
      <c r="B308" s="679" t="n"/>
      <c r="C308" s="763" t="inlineStr">
        <is>
          <t>力率</t>
        </is>
      </c>
      <c r="D308" s="574" t="n"/>
      <c r="E308" s="580" t="n"/>
      <c r="F308" s="418" t="inlineStr">
        <is>
          <t>ψ</t>
        </is>
      </c>
      <c r="G308" s="420" t="n"/>
      <c r="H308" s="419" t="n"/>
      <c r="I308" s="419" t="n"/>
      <c r="J308" s="419" t="n"/>
      <c r="K308" s="419" t="n"/>
      <c r="L308" s="9" t="n"/>
      <c r="M308" s="9" t="n"/>
      <c r="N308" s="9" t="n"/>
      <c r="O308" s="9" t="n"/>
      <c r="P308" s="9" t="n"/>
      <c r="Q308" s="9" t="n"/>
      <c r="R308" s="9" t="n"/>
    </row>
    <row r="309" ht="17.25" customHeight="1">
      <c r="A309" s="679" t="n"/>
      <c r="B309" s="679" t="n"/>
      <c r="C309" s="763" t="inlineStr">
        <is>
          <t>電流</t>
        </is>
      </c>
      <c r="D309" s="586" t="n"/>
      <c r="E309" s="587" t="n"/>
      <c r="F309" s="414" t="inlineStr">
        <is>
          <t>A</t>
        </is>
      </c>
      <c r="G309" s="932" t="n"/>
      <c r="H309" s="933" t="n"/>
      <c r="I309" s="933" t="n"/>
      <c r="J309" s="933" t="n"/>
      <c r="K309" s="933" t="n"/>
      <c r="L309" s="9" t="n"/>
      <c r="M309" s="9" t="n"/>
      <c r="N309" s="9" t="n"/>
      <c r="O309" s="9" t="n"/>
      <c r="P309" s="9" t="n"/>
      <c r="Q309" s="9" t="n"/>
      <c r="R309" s="9" t="n"/>
    </row>
    <row r="310" ht="17.25" customHeight="1">
      <c r="A310" s="679" t="n"/>
      <c r="B310" s="679" t="n"/>
      <c r="C310" s="590" t="n"/>
      <c r="D310" s="598" t="n"/>
      <c r="E310" s="591" t="n"/>
      <c r="F310" s="415" t="inlineStr">
        <is>
          <t>モード</t>
        </is>
      </c>
      <c r="G310" s="426" t="n"/>
      <c r="H310" s="426" t="n"/>
      <c r="I310" s="426" t="n"/>
      <c r="J310" s="426" t="n"/>
      <c r="K310" s="426" t="n"/>
      <c r="L310" s="9" t="n"/>
      <c r="M310" s="9" t="n"/>
      <c r="N310" s="9" t="n"/>
      <c r="O310" s="9" t="n"/>
      <c r="P310" s="9" t="n"/>
      <c r="Q310" s="9" t="n"/>
      <c r="R310" s="9" t="n"/>
    </row>
    <row r="311" ht="17.25" customHeight="1">
      <c r="A311" s="679" t="n"/>
      <c r="B311" s="679" t="n"/>
      <c r="C311" s="763" t="inlineStr">
        <is>
          <t>普通電力量（×１０ｋw）</t>
        </is>
      </c>
      <c r="D311" s="586" t="n"/>
      <c r="E311" s="587" t="n"/>
      <c r="F311" s="414" t="inlineStr">
        <is>
          <t>読み</t>
        </is>
      </c>
      <c r="G311" s="944" t="n"/>
      <c r="H311" s="943" t="n"/>
      <c r="I311" s="943" t="n"/>
      <c r="J311" s="943" t="n"/>
      <c r="K311" s="943" t="n"/>
      <c r="L311" s="9" t="n"/>
      <c r="M311" s="9" t="n"/>
      <c r="N311" s="9" t="n"/>
      <c r="O311" s="9" t="n"/>
      <c r="P311" s="9" t="n"/>
      <c r="Q311" s="9" t="n"/>
      <c r="R311" s="9" t="n"/>
    </row>
    <row r="312" ht="17.25" customHeight="1">
      <c r="A312" s="679" t="n"/>
      <c r="B312" s="679" t="n"/>
      <c r="C312" s="590" t="n"/>
      <c r="D312" s="598" t="n"/>
      <c r="E312" s="591" t="n"/>
      <c r="F312" s="415" t="inlineStr">
        <is>
          <t>使用量</t>
        </is>
      </c>
      <c r="G312" s="947" t="n"/>
      <c r="H312" s="946" t="n"/>
      <c r="I312" s="946" t="n"/>
      <c r="J312" s="946" t="n"/>
      <c r="K312" s="946" t="n"/>
      <c r="L312" s="9" t="n"/>
      <c r="M312" s="9" t="n"/>
      <c r="N312" s="9" t="n"/>
      <c r="O312" s="9" t="n"/>
      <c r="P312" s="9" t="n"/>
      <c r="Q312" s="9" t="n"/>
      <c r="R312" s="9" t="n"/>
    </row>
    <row r="313" ht="17.25" customHeight="1">
      <c r="A313" s="679" t="n"/>
      <c r="B313" s="679" t="n"/>
      <c r="C313" s="763" t="inlineStr">
        <is>
          <t>引込・受電設定</t>
        </is>
      </c>
      <c r="D313" s="586" t="n"/>
      <c r="E313" s="587" t="n"/>
      <c r="F313" s="414" t="inlineStr">
        <is>
          <t>手動/自動</t>
        </is>
      </c>
      <c r="G313" s="332" t="n"/>
      <c r="H313" s="333" t="n"/>
      <c r="I313" s="333" t="n"/>
      <c r="J313" s="333" t="n"/>
      <c r="K313" s="333" t="n"/>
      <c r="L313" s="9" t="n"/>
      <c r="M313" s="9" t="n"/>
      <c r="N313" s="9" t="n"/>
      <c r="O313" s="9" t="n"/>
      <c r="P313" s="9" t="n"/>
      <c r="Q313" s="9" t="n"/>
      <c r="R313" s="9" t="n"/>
    </row>
    <row r="314" ht="17.25" customHeight="1">
      <c r="A314" s="679" t="n"/>
      <c r="B314" s="626" t="n"/>
      <c r="C314" s="590" t="n"/>
      <c r="D314" s="598" t="n"/>
      <c r="E314" s="591" t="n"/>
      <c r="F314" s="415" t="inlineStr">
        <is>
          <t>切/入</t>
        </is>
      </c>
      <c r="G314" s="426" t="n"/>
      <c r="H314" s="416" t="n"/>
      <c r="I314" s="416" t="n"/>
      <c r="J314" s="416" t="n"/>
      <c r="K314" s="416" t="n"/>
      <c r="L314" s="9" t="n"/>
      <c r="M314" s="9" t="n"/>
      <c r="N314" s="9" t="n"/>
      <c r="O314" s="9" t="n"/>
      <c r="P314" s="9" t="n"/>
      <c r="Q314" s="9" t="n"/>
      <c r="R314" s="9" t="n"/>
    </row>
    <row r="315" ht="17.25" customHeight="1">
      <c r="A315" s="679" t="n"/>
      <c r="B315" s="783" t="inlineStr">
        <is>
          <t>変圧器</t>
        </is>
      </c>
      <c r="C315" s="760" t="inlineStr">
        <is>
          <t>主変圧器温度</t>
        </is>
      </c>
      <c r="D315" s="586" t="n"/>
      <c r="E315" s="587" t="n"/>
      <c r="F315" s="414" t="inlineStr">
        <is>
          <t>℃</t>
        </is>
      </c>
      <c r="G315" s="332" t="n"/>
      <c r="H315" s="333" t="n"/>
      <c r="I315" s="333" t="n"/>
      <c r="J315" s="333" t="n"/>
      <c r="K315" s="333" t="n"/>
      <c r="L315" s="9" t="n"/>
      <c r="M315" s="9" t="n"/>
      <c r="N315" s="9" t="n"/>
      <c r="O315" s="9" t="n"/>
      <c r="P315" s="9" t="n"/>
      <c r="Q315" s="9" t="n"/>
      <c r="R315" s="9" t="n"/>
    </row>
    <row r="316" ht="17.25" customHeight="1">
      <c r="A316" s="679" t="n"/>
      <c r="B316" s="626" t="n"/>
      <c r="C316" s="774" t="inlineStr">
        <is>
          <t>異音、脱臭の有無</t>
        </is>
      </c>
      <c r="D316" s="598" t="n"/>
      <c r="E316" s="591" t="n"/>
      <c r="F316" s="415" t="inlineStr">
        <is>
          <t>有・無</t>
        </is>
      </c>
      <c r="G316" s="426" t="n"/>
      <c r="H316" s="416" t="n"/>
      <c r="I316" s="416" t="n"/>
      <c r="J316" s="416" t="n"/>
      <c r="K316" s="416" t="n"/>
      <c r="L316" s="9" t="n"/>
      <c r="M316" s="9" t="n"/>
      <c r="N316" s="9" t="n"/>
      <c r="O316" s="9" t="n"/>
      <c r="P316" s="9" t="n"/>
      <c r="Q316" s="9" t="n"/>
      <c r="R316" s="9" t="n"/>
    </row>
    <row r="317" ht="17.25" customHeight="1">
      <c r="A317" s="679" t="n"/>
      <c r="B317" s="759" t="inlineStr">
        <is>
          <t>低　　圧　　分　　岐</t>
        </is>
      </c>
      <c r="C317" s="763" t="inlineStr">
        <is>
          <t>動力（２１０V）　電圧</t>
        </is>
      </c>
      <c r="D317" s="586" t="n"/>
      <c r="E317" s="587" t="n"/>
      <c r="F317" s="414" t="inlineStr">
        <is>
          <t>V</t>
        </is>
      </c>
      <c r="G317" s="332" t="n"/>
      <c r="H317" s="333" t="n"/>
      <c r="I317" s="333" t="n"/>
      <c r="J317" s="333" t="n"/>
      <c r="K317" s="333" t="n"/>
      <c r="L317" s="9" t="n"/>
      <c r="M317" s="9" t="n"/>
      <c r="N317" s="9" t="n"/>
      <c r="O317" s="9" t="n"/>
      <c r="P317" s="9" t="n"/>
      <c r="Q317" s="9" t="n"/>
      <c r="R317" s="9" t="n"/>
    </row>
    <row r="318" ht="17.25" customHeight="1">
      <c r="A318" s="679" t="n"/>
      <c r="B318" s="679" t="n"/>
      <c r="C318" s="590" t="n"/>
      <c r="D318" s="598" t="n"/>
      <c r="E318" s="591" t="n"/>
      <c r="F318" s="415" t="inlineStr">
        <is>
          <t>モード</t>
        </is>
      </c>
      <c r="G318" s="426" t="n"/>
      <c r="H318" s="426" t="n"/>
      <c r="I318" s="426" t="n"/>
      <c r="J318" s="426" t="n"/>
      <c r="K318" s="426" t="n"/>
      <c r="L318" s="9" t="n"/>
      <c r="M318" s="9" t="n"/>
      <c r="N318" s="9" t="n"/>
      <c r="O318" s="9" t="n"/>
      <c r="P318" s="9" t="n"/>
      <c r="Q318" s="9" t="n"/>
      <c r="R318" s="9" t="n"/>
    </row>
    <row r="319" ht="17.25" customHeight="1">
      <c r="A319" s="679" t="n"/>
      <c r="B319" s="679" t="n"/>
      <c r="C319" s="763" t="inlineStr">
        <is>
          <t>動力（２１０V）　電流</t>
        </is>
      </c>
      <c r="D319" s="586" t="n"/>
      <c r="E319" s="587" t="n"/>
      <c r="F319" s="428" t="inlineStr">
        <is>
          <t>A</t>
        </is>
      </c>
      <c r="G319" s="430" t="n"/>
      <c r="H319" s="429" t="n"/>
      <c r="I319" s="429" t="n"/>
      <c r="J319" s="429" t="n"/>
      <c r="K319" s="429" t="n"/>
      <c r="L319" s="9" t="n"/>
      <c r="M319" s="9" t="n"/>
      <c r="N319" s="9" t="n"/>
      <c r="O319" s="9" t="n"/>
      <c r="P319" s="9" t="n"/>
      <c r="Q319" s="9" t="n"/>
      <c r="R319" s="9" t="n"/>
    </row>
    <row r="320" ht="17.25" customHeight="1">
      <c r="A320" s="679" t="n"/>
      <c r="B320" s="679" t="n"/>
      <c r="C320" s="590" t="n"/>
      <c r="D320" s="598" t="n"/>
      <c r="E320" s="591" t="n"/>
      <c r="F320" s="431" t="inlineStr">
        <is>
          <t>モード</t>
        </is>
      </c>
      <c r="G320" s="426" t="n"/>
      <c r="H320" s="426" t="n"/>
      <c r="I320" s="426" t="n"/>
      <c r="J320" s="426" t="n"/>
      <c r="K320" s="426" t="n"/>
      <c r="L320" s="9" t="n"/>
      <c r="M320" s="9" t="n"/>
      <c r="N320" s="9" t="n"/>
      <c r="O320" s="9" t="n"/>
      <c r="P320" s="9" t="n"/>
      <c r="Q320" s="9" t="n"/>
      <c r="R320" s="9" t="n"/>
    </row>
    <row r="321" ht="17.25" customHeight="1">
      <c r="A321" s="679" t="n"/>
      <c r="B321" s="679" t="n"/>
      <c r="C321" s="763" t="inlineStr">
        <is>
          <t>照明(210-105V)　　電流</t>
        </is>
      </c>
      <c r="D321" s="586" t="n"/>
      <c r="E321" s="587" t="n"/>
      <c r="F321" s="428" t="inlineStr">
        <is>
          <t>A</t>
        </is>
      </c>
      <c r="G321" s="430" t="n"/>
      <c r="H321" s="429" t="n"/>
      <c r="I321" s="429" t="n"/>
      <c r="J321" s="429" t="n"/>
      <c r="K321" s="429" t="n"/>
      <c r="L321" s="369" t="n"/>
      <c r="M321" s="9" t="n"/>
      <c r="N321" s="9" t="n"/>
      <c r="O321" s="9" t="n"/>
      <c r="P321" s="9" t="n"/>
      <c r="Q321" s="9" t="n"/>
      <c r="R321" s="9" t="n"/>
    </row>
    <row r="322" ht="17.25" customHeight="1">
      <c r="A322" s="679" t="n"/>
      <c r="B322" s="679" t="n"/>
      <c r="C322" s="590" t="n"/>
      <c r="D322" s="598" t="n"/>
      <c r="E322" s="591" t="n"/>
      <c r="F322" s="431" t="inlineStr">
        <is>
          <t>モード</t>
        </is>
      </c>
      <c r="G322" s="527" t="n"/>
      <c r="H322" s="527" t="n"/>
      <c r="I322" s="527" t="n"/>
      <c r="J322" s="527" t="n"/>
      <c r="K322" s="527" t="n"/>
      <c r="L322" s="9" t="n"/>
      <c r="M322" s="9" t="n"/>
      <c r="N322" s="9" t="n"/>
      <c r="O322" s="9" t="n"/>
      <c r="P322" s="9" t="n"/>
      <c r="Q322" s="9" t="n"/>
      <c r="R322" s="9" t="n"/>
    </row>
    <row r="323" ht="17.25" customHeight="1">
      <c r="A323" s="679" t="n"/>
      <c r="B323" s="679" t="n"/>
      <c r="C323" s="763" t="inlineStr">
        <is>
          <t>低圧分岐設備</t>
        </is>
      </c>
      <c r="D323" s="574" t="n"/>
      <c r="E323" s="580" t="n"/>
      <c r="F323" s="418" t="inlineStr">
        <is>
          <t>買電/自家発</t>
        </is>
      </c>
      <c r="G323" s="308" t="n"/>
      <c r="H323" s="321" t="n"/>
      <c r="I323" s="321" t="n"/>
      <c r="J323" s="321" t="n"/>
      <c r="K323" s="309" t="n"/>
      <c r="L323" s="9" t="n"/>
      <c r="M323" s="9" t="n"/>
      <c r="N323" s="9" t="n"/>
      <c r="O323" s="9" t="n"/>
      <c r="P323" s="9" t="n"/>
      <c r="Q323" s="9" t="n"/>
      <c r="R323" s="9" t="n"/>
    </row>
    <row r="324" ht="17.25" customHeight="1">
      <c r="A324" s="679" t="n"/>
      <c r="B324" s="679" t="n"/>
      <c r="C324" s="760" t="inlineStr">
        <is>
          <t>沈砂池ポンプ設備</t>
        </is>
      </c>
      <c r="D324" s="586" t="n"/>
      <c r="E324" s="587" t="n"/>
      <c r="F324" s="428" t="inlineStr">
        <is>
          <t>読み</t>
        </is>
      </c>
      <c r="G324" s="430" t="n"/>
      <c r="H324" s="429" t="n"/>
      <c r="I324" s="429" t="n"/>
      <c r="J324" s="429" t="n"/>
      <c r="K324" s="429" t="n"/>
      <c r="L324" s="9" t="n"/>
      <c r="M324" s="9" t="n"/>
      <c r="N324" s="9" t="n"/>
      <c r="O324" s="9" t="n"/>
      <c r="P324" s="9" t="n"/>
      <c r="Q324" s="9" t="n"/>
      <c r="R324" s="9" t="n"/>
    </row>
    <row r="325" ht="17.25" customHeight="1">
      <c r="A325" s="679" t="n"/>
      <c r="B325" s="679" t="n"/>
      <c r="C325" s="774" t="inlineStr">
        <is>
          <t>（×１ｋｗｈ）</t>
        </is>
      </c>
      <c r="D325" s="598" t="n"/>
      <c r="E325" s="591" t="n"/>
      <c r="F325" s="415" t="inlineStr">
        <is>
          <t>使用量</t>
        </is>
      </c>
      <c r="G325" s="513" t="n"/>
      <c r="H325" s="499" t="n"/>
      <c r="I325" s="499" t="n"/>
      <c r="J325" s="499" t="n"/>
      <c r="K325" s="499" t="n"/>
      <c r="L325" s="9" t="n"/>
      <c r="M325" s="9" t="n"/>
      <c r="N325" s="9" t="n"/>
      <c r="O325" s="9" t="n"/>
      <c r="P325" s="9" t="n"/>
      <c r="Q325" s="9" t="n"/>
      <c r="R325" s="9" t="n"/>
    </row>
    <row r="326" ht="17.25" customHeight="1">
      <c r="A326" s="679" t="n"/>
      <c r="B326" s="679" t="n"/>
      <c r="C326" s="760" t="inlineStr">
        <is>
          <t>水処理設備（１）</t>
        </is>
      </c>
      <c r="D326" s="586" t="n"/>
      <c r="E326" s="587" t="n"/>
      <c r="F326" s="428" t="inlineStr">
        <is>
          <t>読み</t>
        </is>
      </c>
      <c r="G326" s="430" t="n"/>
      <c r="H326" s="429" t="n"/>
      <c r="I326" s="429" t="n"/>
      <c r="J326" s="429" t="n"/>
      <c r="K326" s="429" t="n"/>
      <c r="L326" s="9" t="n"/>
      <c r="M326" s="9" t="n"/>
      <c r="N326" s="9" t="n"/>
      <c r="O326" s="9" t="n"/>
      <c r="P326" s="9" t="n"/>
      <c r="Q326" s="9" t="n"/>
      <c r="R326" s="9" t="n"/>
    </row>
    <row r="327" ht="17.25" customHeight="1">
      <c r="A327" s="679" t="n"/>
      <c r="B327" s="679" t="n"/>
      <c r="C327" s="774" t="inlineStr">
        <is>
          <t>（×１ｋｗｈ）</t>
        </is>
      </c>
      <c r="D327" s="598" t="n"/>
      <c r="E327" s="591" t="n"/>
      <c r="F327" s="415" t="inlineStr">
        <is>
          <t>使用量</t>
        </is>
      </c>
      <c r="G327" s="513" t="n"/>
      <c r="H327" s="499" t="n"/>
      <c r="I327" s="499" t="n"/>
      <c r="J327" s="499" t="n"/>
      <c r="K327" s="499" t="n"/>
      <c r="L327" s="9" t="n"/>
      <c r="M327" s="9" t="n"/>
      <c r="N327" s="9" t="n"/>
      <c r="O327" s="9" t="n"/>
      <c r="P327" s="9" t="n"/>
      <c r="Q327" s="9" t="n"/>
      <c r="R327" s="9" t="n"/>
    </row>
    <row r="328" ht="17.25" customHeight="1">
      <c r="A328" s="679" t="n"/>
      <c r="B328" s="679" t="n"/>
      <c r="C328" s="760" t="inlineStr">
        <is>
          <t>水処理設備（２）</t>
        </is>
      </c>
      <c r="D328" s="586" t="n"/>
      <c r="E328" s="587" t="n"/>
      <c r="F328" s="428" t="inlineStr">
        <is>
          <t>読み</t>
        </is>
      </c>
      <c r="G328" s="430" t="n"/>
      <c r="H328" s="429" t="n"/>
      <c r="I328" s="429" t="n"/>
      <c r="J328" s="429" t="n"/>
      <c r="K328" s="429" t="n"/>
      <c r="L328" s="9" t="n"/>
      <c r="M328" s="9" t="n"/>
      <c r="N328" s="9" t="n"/>
      <c r="O328" s="9" t="n"/>
      <c r="P328" s="9" t="n"/>
      <c r="Q328" s="9" t="n"/>
      <c r="R328" s="9" t="n"/>
    </row>
    <row r="329" ht="17.25" customHeight="1">
      <c r="A329" s="679" t="n"/>
      <c r="B329" s="679" t="n"/>
      <c r="C329" s="774" t="inlineStr">
        <is>
          <t>（×１ｋｗｈ）</t>
        </is>
      </c>
      <c r="D329" s="598" t="n"/>
      <c r="E329" s="591" t="n"/>
      <c r="F329" s="415" t="inlineStr">
        <is>
          <t>使用量</t>
        </is>
      </c>
      <c r="G329" s="513" t="n"/>
      <c r="H329" s="499" t="n"/>
      <c r="I329" s="499" t="n"/>
      <c r="J329" s="499" t="n"/>
      <c r="K329" s="499" t="n"/>
      <c r="L329" s="9" t="n"/>
      <c r="M329" s="9" t="n"/>
      <c r="N329" s="9" t="n"/>
      <c r="O329" s="9" t="n"/>
      <c r="P329" s="9" t="n"/>
      <c r="Q329" s="9" t="n"/>
      <c r="R329" s="9" t="n"/>
    </row>
    <row r="330" ht="17.25" customHeight="1">
      <c r="A330" s="679" t="n"/>
      <c r="B330" s="679" t="n"/>
      <c r="C330" s="760" t="inlineStr">
        <is>
          <t>汚泥処理設備電力量</t>
        </is>
      </c>
      <c r="D330" s="586" t="n"/>
      <c r="E330" s="587" t="n"/>
      <c r="F330" s="428" t="inlineStr">
        <is>
          <t>読み</t>
        </is>
      </c>
      <c r="G330" s="430" t="n"/>
      <c r="H330" s="429" t="n"/>
      <c r="I330" s="429" t="n"/>
      <c r="J330" s="429" t="n"/>
      <c r="K330" s="429" t="n"/>
      <c r="L330" s="9" t="n"/>
      <c r="M330" s="9" t="n"/>
      <c r="N330" s="9" t="n"/>
      <c r="O330" s="9" t="n"/>
      <c r="P330" s="9" t="n"/>
      <c r="Q330" s="9" t="n"/>
      <c r="R330" s="9" t="n"/>
    </row>
    <row r="331" ht="17.25" customHeight="1">
      <c r="A331" s="679" t="n"/>
      <c r="B331" s="679" t="n"/>
      <c r="C331" s="774" t="inlineStr">
        <is>
          <t>（×１ｋｗｈ）</t>
        </is>
      </c>
      <c r="D331" s="598" t="n"/>
      <c r="E331" s="591" t="n"/>
      <c r="F331" s="415" t="inlineStr">
        <is>
          <t>使用量</t>
        </is>
      </c>
      <c r="G331" s="513" t="n"/>
      <c r="H331" s="499" t="n"/>
      <c r="I331" s="499" t="n"/>
      <c r="J331" s="499" t="n"/>
      <c r="K331" s="499" t="n"/>
      <c r="L331" s="9" t="n"/>
      <c r="M331" s="9" t="n"/>
      <c r="N331" s="9" t="n"/>
      <c r="O331" s="9" t="n"/>
      <c r="P331" s="9" t="n"/>
      <c r="Q331" s="9" t="n"/>
      <c r="R331" s="9" t="n"/>
    </row>
    <row r="332" ht="17.25" customHeight="1">
      <c r="A332" s="679" t="n"/>
      <c r="B332" s="679" t="n"/>
      <c r="C332" s="763" t="inlineStr">
        <is>
          <t>No.１　コンデンサー(電磁接触器)</t>
        </is>
      </c>
      <c r="D332" s="574" t="n"/>
      <c r="E332" s="580" t="n"/>
      <c r="F332" s="765" t="inlineStr">
        <is>
          <t>切/入</t>
        </is>
      </c>
      <c r="G332" s="308" t="n"/>
      <c r="H332" s="308" t="n"/>
      <c r="I332" s="308" t="n"/>
      <c r="J332" s="308" t="n"/>
      <c r="K332" s="308" t="n"/>
      <c r="L332" s="9" t="n"/>
      <c r="M332" s="9" t="n"/>
      <c r="N332" s="9" t="n"/>
      <c r="O332" s="9" t="n"/>
      <c r="P332" s="9" t="n"/>
      <c r="Q332" s="9" t="n"/>
      <c r="R332" s="9" t="n"/>
    </row>
    <row r="333" ht="17.25" customHeight="1">
      <c r="A333" s="679" t="n"/>
      <c r="B333" s="679" t="n"/>
      <c r="C333" s="763" t="inlineStr">
        <is>
          <t>No.２　コンデンサー(電磁接触器)</t>
        </is>
      </c>
      <c r="D333" s="574" t="n"/>
      <c r="E333" s="580" t="n"/>
      <c r="F333" s="765" t="inlineStr">
        <is>
          <t>切/入</t>
        </is>
      </c>
      <c r="G333" s="308" t="n"/>
      <c r="H333" s="308" t="n"/>
      <c r="I333" s="308" t="n"/>
      <c r="J333" s="308" t="n"/>
      <c r="K333" s="308" t="n"/>
      <c r="L333" s="9" t="n"/>
      <c r="M333" s="9" t="n"/>
      <c r="N333" s="9" t="n"/>
      <c r="O333" s="9" t="n"/>
      <c r="P333" s="9" t="n"/>
      <c r="Q333" s="9" t="n"/>
      <c r="R333" s="9" t="n"/>
    </row>
    <row r="334" ht="17.25" customHeight="1">
      <c r="A334" s="626" t="n"/>
      <c r="B334" s="626" t="n"/>
      <c r="C334" s="763" t="inlineStr">
        <is>
          <t>No.３　コンデンサー(電磁接触器)</t>
        </is>
      </c>
      <c r="D334" s="574" t="n"/>
      <c r="E334" s="580" t="n"/>
      <c r="F334" s="765" t="inlineStr">
        <is>
          <t>切/入</t>
        </is>
      </c>
      <c r="G334" s="308" t="n"/>
      <c r="H334" s="308" t="n"/>
      <c r="I334" s="308" t="n"/>
      <c r="J334" s="308" t="n"/>
      <c r="K334" s="308" t="n"/>
      <c r="L334" s="9" t="n"/>
      <c r="M334" s="9" t="n"/>
      <c r="N334" s="9" t="n"/>
      <c r="O334" s="9" t="n"/>
      <c r="P334" s="9" t="n"/>
      <c r="Q334" s="9" t="n"/>
      <c r="R334" s="9" t="n"/>
    </row>
    <row r="335" ht="13.5" customHeight="1">
      <c r="A335" s="781" t="inlineStr">
        <is>
          <t>備　考</t>
        </is>
      </c>
      <c r="B335" s="360" t="n"/>
      <c r="C335" s="747" t="n"/>
      <c r="D335" s="747" t="n"/>
      <c r="E335" s="747" t="n"/>
      <c r="F335" s="747" t="n"/>
      <c r="G335" s="747" t="n"/>
      <c r="H335" s="747" t="n"/>
      <c r="I335" s="747" t="n"/>
      <c r="J335" s="747" t="n"/>
      <c r="K335" s="435" t="n"/>
      <c r="L335" s="9" t="n"/>
      <c r="M335" s="9" t="n"/>
      <c r="N335" s="9" t="n"/>
      <c r="O335" s="9" t="n"/>
      <c r="P335" s="9" t="n"/>
      <c r="Q335" s="9" t="n"/>
      <c r="R335" s="9" t="n"/>
    </row>
    <row r="336" ht="13.5" customHeight="1">
      <c r="A336" s="679" t="n"/>
      <c r="B336" s="361" t="n"/>
      <c r="C336" s="128" t="n"/>
      <c r="D336" s="128" t="n"/>
      <c r="E336" s="128" t="n"/>
      <c r="F336" s="357" t="n"/>
      <c r="G336" s="371" t="n"/>
      <c r="H336" s="371" t="n"/>
      <c r="I336" s="371" t="n"/>
      <c r="J336" s="371" t="n"/>
      <c r="K336" s="436" t="n"/>
      <c r="L336" s="9" t="n"/>
      <c r="M336" s="9" t="n"/>
      <c r="N336" s="9" t="n"/>
      <c r="O336" s="9" t="n"/>
      <c r="P336" s="9" t="n"/>
      <c r="Q336" s="9" t="n"/>
      <c r="R336" s="9" t="n"/>
    </row>
    <row r="337" ht="28.5" customHeight="1">
      <c r="A337" s="626" t="n"/>
      <c r="B337" s="437" t="n"/>
      <c r="C337" s="438" t="n"/>
      <c r="D337" s="438" t="n"/>
      <c r="E337" s="438" t="n"/>
      <c r="F337" s="438" t="n"/>
      <c r="G337" s="439" t="n"/>
      <c r="H337" s="439" t="n"/>
      <c r="I337" s="439" t="n"/>
      <c r="J337" s="439" t="n"/>
      <c r="K337" s="440" t="n"/>
      <c r="L337" s="9" t="n"/>
      <c r="M337" s="9" t="n"/>
      <c r="N337" s="9" t="n"/>
      <c r="O337" s="9" t="n"/>
      <c r="P337" s="9" t="n"/>
      <c r="Q337" s="9" t="n"/>
      <c r="R337" s="9" t="n"/>
    </row>
    <row r="338" ht="21" customHeight="1">
      <c r="A338" s="299" t="inlineStr">
        <is>
          <t xml:space="preserve">　電気設備日常点検（２/３）</t>
        </is>
      </c>
      <c r="B338" s="128" t="n"/>
      <c r="C338" s="128" t="n"/>
      <c r="D338" s="128" t="n"/>
      <c r="E338" s="128" t="n"/>
      <c r="F338" s="128" t="n"/>
      <c r="G338" s="128" t="n"/>
      <c r="H338" s="128" t="n"/>
      <c r="I338" s="128" t="n"/>
      <c r="J338" s="128" t="n"/>
      <c r="K338" s="355">
        <f>K1</f>
        <v/>
      </c>
      <c r="L338" s="9" t="n"/>
      <c r="M338" s="9" t="n"/>
      <c r="N338" s="9" t="n"/>
      <c r="O338" s="9" t="n"/>
      <c r="P338" s="9" t="n"/>
      <c r="Q338" s="9" t="n"/>
      <c r="R338" s="9" t="n"/>
    </row>
    <row r="339" ht="13.5" customHeight="1">
      <c r="A339" s="768" t="n"/>
      <c r="B339" s="765" t="inlineStr">
        <is>
          <t>機器名</t>
        </is>
      </c>
      <c r="C339" s="587" t="n"/>
      <c r="D339" s="765" t="inlineStr">
        <is>
          <t>点　　検　　者　　氏　　名</t>
        </is>
      </c>
      <c r="E339" s="574" t="n"/>
      <c r="F339" s="580" t="n"/>
      <c r="G339" s="308" t="n"/>
      <c r="H339" s="309" t="n"/>
      <c r="I339" s="309" t="n"/>
      <c r="J339" s="309" t="n"/>
      <c r="K339" s="309" t="n"/>
      <c r="L339" s="9" t="n"/>
      <c r="M339" s="9" t="n"/>
      <c r="N339" s="9" t="n"/>
      <c r="O339" s="9" t="n"/>
      <c r="P339" s="9" t="n"/>
      <c r="Q339" s="9" t="n"/>
      <c r="R339" s="9" t="n"/>
    </row>
    <row r="340" ht="13.5" customHeight="1">
      <c r="A340" s="626" t="n"/>
      <c r="B340" s="590" t="n"/>
      <c r="C340" s="591" t="n"/>
      <c r="D340" s="765" t="inlineStr">
        <is>
          <t>点　　　検　　　内　　　容</t>
        </is>
      </c>
      <c r="E340" s="574" t="n"/>
      <c r="F340" s="580" t="n"/>
      <c r="G340" s="949" t="n"/>
      <c r="H340" s="948" t="n"/>
      <c r="I340" s="948" t="n"/>
      <c r="J340" s="948" t="n"/>
      <c r="K340" s="948" t="n"/>
      <c r="L340" s="9" t="n"/>
      <c r="M340" s="9" t="n"/>
      <c r="N340" s="9" t="n"/>
      <c r="O340" s="9" t="n"/>
      <c r="P340" s="9" t="n"/>
      <c r="Q340" s="9" t="n"/>
      <c r="R340" s="9" t="n"/>
    </row>
    <row r="341" ht="16.5" customHeight="1">
      <c r="A341" s="764" t="n"/>
      <c r="B341" s="767" t="inlineStr">
        <is>
          <t>Nｏ．１オキシデーションディッチＤＯ計</t>
        </is>
      </c>
      <c r="C341" s="587" t="n"/>
      <c r="D341" s="773" t="inlineStr">
        <is>
          <t>外観の確認</t>
        </is>
      </c>
      <c r="E341" s="950" t="n"/>
      <c r="F341" s="445" t="n"/>
      <c r="G341" s="332" t="n"/>
      <c r="H341" s="333" t="n"/>
      <c r="I341" s="333" t="n"/>
      <c r="J341" s="333" t="n"/>
      <c r="K341" s="333" t="n"/>
      <c r="L341" s="9" t="n"/>
      <c r="M341" s="9" t="n"/>
      <c r="N341" s="9" t="n"/>
      <c r="O341" s="9" t="n"/>
      <c r="P341" s="9" t="n"/>
      <c r="Q341" s="9" t="n"/>
      <c r="R341" s="9" t="n"/>
    </row>
    <row r="342" ht="16.5" customHeight="1">
      <c r="A342" s="679" t="n"/>
      <c r="B342" s="613" t="n"/>
      <c r="C342" s="602" t="n"/>
      <c r="D342" s="777" t="inlineStr">
        <is>
          <t>指示状況の確認</t>
        </is>
      </c>
      <c r="E342" s="951" t="n"/>
      <c r="F342" s="446" t="n"/>
      <c r="G342" s="448" t="n"/>
      <c r="H342" s="447" t="n"/>
      <c r="I342" s="447" t="n"/>
      <c r="J342" s="447" t="n"/>
      <c r="K342" s="447" t="n"/>
      <c r="L342" s="9" t="n"/>
      <c r="M342" s="9" t="n"/>
      <c r="N342" s="9" t="n"/>
      <c r="O342" s="9" t="n"/>
      <c r="P342" s="9" t="n"/>
      <c r="Q342" s="9" t="n"/>
      <c r="R342" s="9" t="n"/>
    </row>
    <row r="343" ht="16.5" customHeight="1">
      <c r="A343" s="679" t="n"/>
      <c r="B343" s="590" t="n"/>
      <c r="C343" s="591" t="n"/>
      <c r="D343" s="762" t="inlineStr">
        <is>
          <t>ＤＯ値</t>
        </is>
      </c>
      <c r="E343" s="952" t="n"/>
      <c r="F343" s="449" t="inlineStr">
        <is>
          <t>㎎/ℓ</t>
        </is>
      </c>
      <c r="G343" s="451" t="n"/>
      <c r="H343" s="450" t="n"/>
      <c r="I343" s="450" t="n"/>
      <c r="J343" s="450" t="n"/>
      <c r="K343" s="450" t="n"/>
      <c r="L343" s="9" t="n"/>
      <c r="M343" s="9" t="n"/>
      <c r="N343" s="9" t="n"/>
      <c r="O343" s="9" t="n"/>
      <c r="P343" s="9" t="n"/>
      <c r="Q343" s="9" t="n"/>
      <c r="R343" s="9" t="n"/>
    </row>
    <row r="344" ht="16.5" customHeight="1">
      <c r="A344" s="679" t="n"/>
      <c r="B344" s="767" t="inlineStr">
        <is>
          <t>Nｏ．２オキシデーションディッチＤＯ計</t>
        </is>
      </c>
      <c r="C344" s="587" t="n"/>
      <c r="D344" s="773" t="inlineStr">
        <is>
          <t>外観の確認</t>
        </is>
      </c>
      <c r="E344" s="950" t="n"/>
      <c r="F344" s="445" t="n"/>
      <c r="G344" s="332" t="n"/>
      <c r="H344" s="333" t="n"/>
      <c r="I344" s="333" t="n"/>
      <c r="J344" s="333" t="n"/>
      <c r="K344" s="333" t="n"/>
      <c r="L344" s="9" t="n"/>
      <c r="M344" s="9" t="n"/>
      <c r="N344" s="9" t="n"/>
      <c r="O344" s="9" t="n"/>
      <c r="P344" s="9" t="n"/>
      <c r="Q344" s="9" t="n"/>
      <c r="R344" s="9" t="n"/>
    </row>
    <row r="345" ht="16.5" customHeight="1">
      <c r="A345" s="679" t="n"/>
      <c r="B345" s="613" t="n"/>
      <c r="C345" s="602" t="n"/>
      <c r="D345" s="777" t="inlineStr">
        <is>
          <t>指示状況の確認</t>
        </is>
      </c>
      <c r="E345" s="951" t="n"/>
      <c r="F345" s="446" t="n"/>
      <c r="G345" s="448" t="n"/>
      <c r="H345" s="447" t="n"/>
      <c r="I345" s="447" t="n"/>
      <c r="J345" s="447" t="n"/>
      <c r="K345" s="447" t="n"/>
      <c r="L345" s="9" t="n"/>
      <c r="M345" s="9" t="n"/>
      <c r="N345" s="9" t="n"/>
      <c r="O345" s="9" t="n"/>
      <c r="P345" s="9" t="n"/>
      <c r="Q345" s="9" t="n"/>
      <c r="R345" s="9" t="n"/>
    </row>
    <row r="346" ht="16.5" customHeight="1">
      <c r="A346" s="679" t="n"/>
      <c r="B346" s="590" t="n"/>
      <c r="C346" s="591" t="n"/>
      <c r="D346" s="762" t="inlineStr">
        <is>
          <t>ＤＯ値</t>
        </is>
      </c>
      <c r="E346" s="952" t="n"/>
      <c r="F346" s="449" t="inlineStr">
        <is>
          <t>㎎/ℓ</t>
        </is>
      </c>
      <c r="G346" s="453" t="n"/>
      <c r="H346" s="452" t="n"/>
      <c r="I346" s="452" t="n"/>
      <c r="J346" s="452" t="n"/>
      <c r="K346" s="452" t="n"/>
      <c r="L346" s="9" t="n"/>
      <c r="M346" s="9" t="n"/>
      <c r="N346" s="9" t="n"/>
      <c r="O346" s="9" t="n"/>
      <c r="P346" s="9" t="n"/>
      <c r="Q346" s="9" t="n"/>
      <c r="R346" s="9" t="n"/>
    </row>
    <row r="347" ht="16.5" customHeight="1">
      <c r="A347" s="679" t="n"/>
      <c r="B347" s="767" t="inlineStr">
        <is>
          <t>Nｏ．１返送汚泥流量計</t>
        </is>
      </c>
      <c r="C347" s="587" t="n"/>
      <c r="D347" s="773" t="inlineStr">
        <is>
          <t>外観の確認</t>
        </is>
      </c>
      <c r="E347" s="950" t="n"/>
      <c r="F347" s="445" t="n"/>
      <c r="G347" s="332" t="n"/>
      <c r="H347" s="333" t="n"/>
      <c r="I347" s="333" t="n"/>
      <c r="J347" s="333" t="n"/>
      <c r="K347" s="333" t="n"/>
      <c r="L347" s="9" t="n"/>
      <c r="M347" s="9" t="n"/>
      <c r="N347" s="9" t="n"/>
      <c r="O347" s="9" t="n"/>
      <c r="P347" s="9" t="n"/>
      <c r="Q347" s="9" t="n"/>
      <c r="R347" s="9" t="n"/>
    </row>
    <row r="348" ht="16.5" customHeight="1">
      <c r="A348" s="679" t="n"/>
      <c r="B348" s="613" t="n"/>
      <c r="C348" s="602" t="n"/>
      <c r="D348" s="771" t="inlineStr">
        <is>
          <t>指示状況の確認</t>
        </is>
      </c>
      <c r="E348" s="641" t="n"/>
      <c r="F348" s="459" t="n"/>
      <c r="G348" s="448" t="n"/>
      <c r="H348" s="447" t="n"/>
      <c r="I348" s="447" t="n"/>
      <c r="J348" s="447" t="n"/>
      <c r="K348" s="447" t="n"/>
      <c r="L348" s="9" t="n"/>
      <c r="M348" s="9" t="n"/>
      <c r="N348" s="9" t="n"/>
      <c r="O348" s="9" t="n"/>
      <c r="P348" s="9" t="n"/>
      <c r="Q348" s="9" t="n"/>
      <c r="R348" s="9" t="n"/>
    </row>
    <row r="349" ht="16.5" customHeight="1">
      <c r="A349" s="679" t="n"/>
      <c r="B349" s="613" t="n"/>
      <c r="C349" s="602" t="n"/>
      <c r="D349" s="771" t="inlineStr">
        <is>
          <t>流量計の読み</t>
        </is>
      </c>
      <c r="E349" s="641" t="n"/>
      <c r="F349" s="459" t="inlineStr">
        <is>
          <t>㎥/ｈ</t>
        </is>
      </c>
      <c r="G349" s="455" t="n"/>
      <c r="H349" s="454" t="n"/>
      <c r="I349" s="454" t="n"/>
      <c r="J349" s="454" t="n"/>
      <c r="K349" s="454" t="n"/>
      <c r="L349" s="9" t="n"/>
      <c r="M349" s="9" t="n"/>
      <c r="N349" s="9" t="n"/>
      <c r="O349" s="9" t="n"/>
      <c r="P349" s="9" t="n"/>
      <c r="Q349" s="9" t="n"/>
      <c r="R349" s="9" t="n"/>
    </row>
    <row r="350" ht="16.5" customHeight="1">
      <c r="A350" s="679" t="n"/>
      <c r="B350" s="590" t="n"/>
      <c r="C350" s="591" t="n"/>
      <c r="D350" s="772" t="inlineStr">
        <is>
          <t>流量計積算計読み</t>
        </is>
      </c>
      <c r="E350" s="608" t="n"/>
      <c r="F350" s="449" t="inlineStr">
        <is>
          <t>㎥</t>
        </is>
      </c>
      <c r="G350" s="968" t="n"/>
      <c r="H350" s="969" t="n"/>
      <c r="I350" s="969" t="n"/>
      <c r="J350" s="969" t="n"/>
      <c r="K350" s="969" t="n"/>
      <c r="L350" s="9" t="n"/>
      <c r="M350" s="9" t="n"/>
      <c r="N350" s="9" t="n"/>
      <c r="O350" s="9" t="n"/>
      <c r="P350" s="9" t="n"/>
      <c r="Q350" s="9" t="n"/>
      <c r="R350" s="9" t="n"/>
    </row>
    <row r="351" ht="16.5" customHeight="1">
      <c r="A351" s="679" t="n"/>
      <c r="B351" s="767" t="inlineStr">
        <is>
          <t>Nｏ．２返送汚泥流量計</t>
        </is>
      </c>
      <c r="C351" s="587" t="n"/>
      <c r="D351" s="773" t="inlineStr">
        <is>
          <t>外観の確認</t>
        </is>
      </c>
      <c r="E351" s="950" t="n"/>
      <c r="F351" s="445" t="n"/>
      <c r="G351" s="332" t="n"/>
      <c r="H351" s="333" t="n"/>
      <c r="I351" s="333" t="n"/>
      <c r="J351" s="333" t="n"/>
      <c r="K351" s="333" t="n"/>
      <c r="L351" s="9" t="n"/>
      <c r="M351" s="9" t="n"/>
      <c r="N351" s="9" t="n"/>
      <c r="O351" s="9" t="n"/>
      <c r="P351" s="9" t="n"/>
      <c r="Q351" s="9" t="n"/>
      <c r="R351" s="9" t="n"/>
    </row>
    <row r="352" ht="16.5" customHeight="1">
      <c r="A352" s="679" t="n"/>
      <c r="B352" s="613" t="n"/>
      <c r="C352" s="602" t="n"/>
      <c r="D352" s="771" t="inlineStr">
        <is>
          <t>指示状況の確認</t>
        </is>
      </c>
      <c r="E352" s="641" t="n"/>
      <c r="F352" s="459" t="n"/>
      <c r="G352" s="448" t="n"/>
      <c r="H352" s="447" t="n"/>
      <c r="I352" s="447" t="n"/>
      <c r="J352" s="447" t="n"/>
      <c r="K352" s="447" t="n"/>
      <c r="L352" s="9" t="n"/>
      <c r="M352" s="9" t="n"/>
      <c r="N352" s="9" t="n"/>
      <c r="O352" s="9" t="n"/>
      <c r="P352" s="9" t="n"/>
      <c r="Q352" s="9" t="n"/>
      <c r="R352" s="9" t="n"/>
    </row>
    <row r="353" ht="16.5" customHeight="1">
      <c r="A353" s="679" t="n"/>
      <c r="B353" s="613" t="n"/>
      <c r="C353" s="602" t="n"/>
      <c r="D353" s="771" t="inlineStr">
        <is>
          <t>流量計の読み</t>
        </is>
      </c>
      <c r="E353" s="641" t="n"/>
      <c r="F353" s="459" t="inlineStr">
        <is>
          <t>㎥/ｈ</t>
        </is>
      </c>
      <c r="G353" s="458" t="n"/>
      <c r="H353" s="457" t="n"/>
      <c r="I353" s="457" t="n"/>
      <c r="J353" s="457" t="n"/>
      <c r="K353" s="457" t="n"/>
      <c r="L353" s="9" t="n"/>
      <c r="M353" s="9" t="n"/>
      <c r="N353" s="9" t="n"/>
      <c r="O353" s="9" t="n"/>
      <c r="P353" s="9" t="n"/>
      <c r="Q353" s="9" t="n"/>
      <c r="R353" s="9" t="n"/>
    </row>
    <row r="354" ht="16.5" customHeight="1">
      <c r="A354" s="679" t="n"/>
      <c r="B354" s="590" t="n"/>
      <c r="C354" s="591" t="n"/>
      <c r="D354" s="772" t="inlineStr">
        <is>
          <t>流量計積算計読み</t>
        </is>
      </c>
      <c r="E354" s="608" t="n"/>
      <c r="F354" s="449" t="inlineStr">
        <is>
          <t>㎥</t>
        </is>
      </c>
      <c r="G354" s="968" t="n"/>
      <c r="H354" s="969" t="n"/>
      <c r="I354" s="969" t="n"/>
      <c r="J354" s="969" t="n"/>
      <c r="K354" s="969" t="n"/>
      <c r="L354" s="9" t="n"/>
      <c r="M354" s="9" t="n"/>
      <c r="N354" s="9" t="n"/>
      <c r="O354" s="9" t="n"/>
      <c r="P354" s="9" t="n"/>
      <c r="Q354" s="9" t="n"/>
      <c r="R354" s="9" t="n"/>
    </row>
    <row r="355" ht="16.5" customHeight="1">
      <c r="A355" s="679" t="n"/>
      <c r="B355" s="782" t="inlineStr">
        <is>
          <t>余剰汚泥流量計</t>
        </is>
      </c>
      <c r="C355" s="587" t="n"/>
      <c r="D355" s="773" t="inlineStr">
        <is>
          <t>外観の確認</t>
        </is>
      </c>
      <c r="E355" s="950" t="n"/>
      <c r="F355" s="445" t="n"/>
      <c r="G355" s="332" t="n"/>
      <c r="H355" s="333" t="n"/>
      <c r="I355" s="333" t="n"/>
      <c r="J355" s="333" t="n"/>
      <c r="K355" s="333" t="n"/>
      <c r="L355" s="9" t="n"/>
      <c r="M355" s="9" t="n"/>
      <c r="N355" s="9" t="n"/>
      <c r="O355" s="9" t="n"/>
      <c r="P355" s="9" t="n"/>
      <c r="Q355" s="9" t="n"/>
      <c r="R355" s="9" t="n"/>
    </row>
    <row r="356" ht="16.5" customHeight="1">
      <c r="A356" s="679" t="n"/>
      <c r="B356" s="613" t="n"/>
      <c r="C356" s="602" t="n"/>
      <c r="D356" s="771" t="inlineStr">
        <is>
          <t>指示状況の確認</t>
        </is>
      </c>
      <c r="E356" s="641" t="n"/>
      <c r="F356" s="459" t="n"/>
      <c r="G356" s="448" t="n"/>
      <c r="H356" s="447" t="n"/>
      <c r="I356" s="447" t="n"/>
      <c r="J356" s="447" t="n"/>
      <c r="K356" s="447" t="n"/>
      <c r="L356" s="9" t="n"/>
      <c r="M356" s="9" t="n"/>
      <c r="N356" s="9" t="n"/>
      <c r="O356" s="9" t="n"/>
      <c r="P356" s="9" t="n"/>
      <c r="Q356" s="9" t="n"/>
      <c r="R356" s="9" t="n"/>
    </row>
    <row r="357" ht="16.5" customHeight="1">
      <c r="A357" s="679" t="n"/>
      <c r="B357" s="613" t="n"/>
      <c r="C357" s="602" t="n"/>
      <c r="D357" s="766" t="inlineStr">
        <is>
          <t>No.１余剰汚泥ポンプ流量計読み</t>
        </is>
      </c>
      <c r="E357" s="577" t="n"/>
      <c r="F357" s="459" t="inlineStr">
        <is>
          <t>㎥/ｈ</t>
        </is>
      </c>
      <c r="G357" s="461" t="n"/>
      <c r="H357" s="460" t="n"/>
      <c r="I357" s="460" t="n"/>
      <c r="J357" s="460" t="n"/>
      <c r="K357" s="460" t="n"/>
      <c r="L357" s="9" t="n"/>
      <c r="M357" s="9" t="n"/>
      <c r="N357" s="9" t="n"/>
      <c r="O357" s="9" t="n"/>
      <c r="P357" s="9" t="n"/>
      <c r="Q357" s="9" t="n"/>
      <c r="R357" s="9" t="n"/>
    </row>
    <row r="358" ht="16.5" customHeight="1">
      <c r="A358" s="679" t="n"/>
      <c r="B358" s="613" t="n"/>
      <c r="C358" s="602" t="n"/>
      <c r="D358" s="770" t="inlineStr">
        <is>
          <t>No.２余剰汚泥ポンプ流量計読み</t>
        </is>
      </c>
      <c r="E358" s="666" t="n"/>
      <c r="F358" s="459" t="inlineStr">
        <is>
          <t>㎥/ｈ</t>
        </is>
      </c>
      <c r="G358" s="461" t="n"/>
      <c r="H358" s="460" t="n"/>
      <c r="I358" s="460" t="n"/>
      <c r="J358" s="530" t="n"/>
      <c r="K358" s="460" t="n"/>
      <c r="L358" s="9" t="n"/>
      <c r="M358" s="9" t="n"/>
      <c r="N358" s="9" t="n"/>
      <c r="O358" s="9" t="n"/>
      <c r="P358" s="9" t="n"/>
      <c r="Q358" s="9" t="n"/>
      <c r="R358" s="9" t="n"/>
    </row>
    <row r="359" ht="16.5" customHeight="1">
      <c r="A359" s="679" t="n"/>
      <c r="B359" s="763" t="inlineStr">
        <is>
          <t>放流流量計</t>
        </is>
      </c>
      <c r="C359" s="587" t="n"/>
      <c r="D359" s="758" t="inlineStr">
        <is>
          <t>外観の確認</t>
        </is>
      </c>
      <c r="E359" s="583" t="n"/>
      <c r="F359" s="445" t="n"/>
      <c r="G359" s="332" t="n"/>
      <c r="H359" s="333" t="n"/>
      <c r="I359" s="333" t="n"/>
      <c r="J359" s="333" t="n"/>
      <c r="K359" s="333" t="n"/>
      <c r="L359" s="9" t="n"/>
      <c r="M359" s="9" t="n"/>
      <c r="N359" s="9" t="n"/>
      <c r="O359" s="9" t="n"/>
      <c r="P359" s="9" t="n"/>
      <c r="Q359" s="9" t="n"/>
      <c r="R359" s="9" t="n"/>
    </row>
    <row r="360" ht="16.5" customHeight="1">
      <c r="A360" s="679" t="n"/>
      <c r="B360" s="613" t="n"/>
      <c r="C360" s="602" t="n"/>
      <c r="D360" s="757" t="inlineStr">
        <is>
          <t>指示状況の確認</t>
        </is>
      </c>
      <c r="E360" s="577" t="n"/>
      <c r="F360" s="459" t="n"/>
      <c r="G360" s="448" t="n"/>
      <c r="H360" s="447" t="n"/>
      <c r="I360" s="447" t="n"/>
      <c r="J360" s="447" t="n"/>
      <c r="K360" s="447" t="n"/>
      <c r="L360" s="9" t="n"/>
      <c r="M360" s="9" t="n"/>
      <c r="N360" s="9" t="n"/>
      <c r="O360" s="9" t="n"/>
      <c r="P360" s="9" t="n"/>
      <c r="Q360" s="9" t="n"/>
      <c r="R360" s="9" t="n"/>
    </row>
    <row r="361" ht="16.5" customHeight="1">
      <c r="A361" s="679" t="n"/>
      <c r="B361" s="613" t="n"/>
      <c r="C361" s="602" t="n"/>
      <c r="D361" s="757" t="inlineStr">
        <is>
          <t>流量計の読み</t>
        </is>
      </c>
      <c r="E361" s="577" t="n"/>
      <c r="F361" s="459" t="inlineStr">
        <is>
          <t>㎥/ｈ</t>
        </is>
      </c>
      <c r="G361" s="455" t="n"/>
      <c r="H361" s="454" t="n"/>
      <c r="I361" s="454" t="n"/>
      <c r="J361" s="454" t="n"/>
      <c r="K361" s="454" t="n"/>
      <c r="L361" s="9" t="n"/>
      <c r="M361" s="9" t="n"/>
      <c r="N361" s="9" t="n"/>
      <c r="O361" s="9" t="n"/>
      <c r="P361" s="9" t="n"/>
      <c r="Q361" s="9" t="n"/>
      <c r="R361" s="9" t="n"/>
    </row>
    <row r="362" ht="16.5" customHeight="1">
      <c r="A362" s="679" t="n"/>
      <c r="B362" s="590" t="n"/>
      <c r="C362" s="591" t="n"/>
      <c r="D362" s="772" t="inlineStr">
        <is>
          <t>流量計積算の読み</t>
        </is>
      </c>
      <c r="E362" s="608" t="n"/>
      <c r="F362" s="319" t="inlineStr">
        <is>
          <t>㎥</t>
        </is>
      </c>
      <c r="G362" s="842" t="n"/>
      <c r="H362" s="843" t="n"/>
      <c r="I362" s="843" t="n"/>
      <c r="J362" s="843" t="n"/>
      <c r="K362" s="843" t="n"/>
      <c r="L362" s="9" t="n"/>
      <c r="M362" s="9" t="n"/>
      <c r="N362" s="9" t="n"/>
      <c r="O362" s="9" t="n"/>
      <c r="P362" s="9" t="n"/>
      <c r="Q362" s="9" t="n"/>
      <c r="R362" s="9" t="n"/>
    </row>
    <row r="363" ht="16.5" customHeight="1">
      <c r="A363" s="679" t="n"/>
      <c r="B363" s="778" t="inlineStr">
        <is>
          <t>汚濁負荷量計</t>
        </is>
      </c>
      <c r="C363" s="587" t="n"/>
      <c r="D363" s="758" t="inlineStr">
        <is>
          <t>外観の確認</t>
        </is>
      </c>
      <c r="E363" s="583" t="n"/>
      <c r="F363" s="445" t="n"/>
      <c r="G363" s="332" t="n"/>
      <c r="H363" s="333" t="n"/>
      <c r="I363" s="333" t="n"/>
      <c r="J363" s="333" t="n"/>
      <c r="K363" s="333" t="n"/>
      <c r="L363" s="9" t="n"/>
      <c r="M363" s="9" t="n"/>
      <c r="N363" s="9" t="n"/>
      <c r="O363" s="9" t="n"/>
      <c r="P363" s="9" t="n"/>
      <c r="Q363" s="9" t="n"/>
      <c r="R363" s="9" t="n"/>
    </row>
    <row r="364" ht="16.5" customHeight="1">
      <c r="A364" s="679" t="n"/>
      <c r="B364" s="613" t="n"/>
      <c r="C364" s="602" t="n"/>
      <c r="D364" s="757" t="inlineStr">
        <is>
          <t>指示状況の確認</t>
        </is>
      </c>
      <c r="E364" s="577" t="n"/>
      <c r="F364" s="459" t="n"/>
      <c r="G364" s="448" t="n"/>
      <c r="H364" s="447" t="n"/>
      <c r="I364" s="447" t="n"/>
      <c r="J364" s="447" t="n"/>
      <c r="K364" s="447" t="n"/>
      <c r="L364" s="9" t="n"/>
      <c r="M364" s="9" t="n"/>
      <c r="N364" s="9" t="n"/>
      <c r="O364" s="9" t="n"/>
      <c r="P364" s="9" t="n"/>
      <c r="Q364" s="9" t="n"/>
      <c r="R364" s="9" t="n"/>
    </row>
    <row r="365" ht="16.5" customHeight="1">
      <c r="A365" s="679" t="n"/>
      <c r="B365" s="779" t="inlineStr">
        <is>
          <t>（放流水ＵＶ）</t>
        </is>
      </c>
      <c r="C365" s="602" t="n"/>
      <c r="D365" s="757" t="inlineStr">
        <is>
          <t>ＵＶ値</t>
        </is>
      </c>
      <c r="E365" s="577" t="n"/>
      <c r="F365" s="459" t="inlineStr">
        <is>
          <t>Abs</t>
        </is>
      </c>
      <c r="G365" s="467" t="n"/>
      <c r="H365" s="466" t="n"/>
      <c r="I365" s="466" t="n"/>
      <c r="J365" s="466" t="n"/>
      <c r="K365" s="466" t="n"/>
      <c r="L365" s="9" t="n"/>
      <c r="M365" s="9" t="n"/>
      <c r="N365" s="9" t="n"/>
      <c r="O365" s="9" t="n"/>
      <c r="P365" s="9" t="n"/>
      <c r="Q365" s="9" t="n"/>
      <c r="R365" s="9" t="n"/>
    </row>
    <row r="366" ht="16.5" customHeight="1">
      <c r="A366" s="506" t="n"/>
      <c r="B366" s="590" t="n"/>
      <c r="C366" s="591" t="n"/>
      <c r="D366" s="772" t="inlineStr">
        <is>
          <t>ＣＯＤ値</t>
        </is>
      </c>
      <c r="E366" s="608" t="n"/>
      <c r="F366" s="319" t="inlineStr">
        <is>
          <t>㎎/ℓ</t>
        </is>
      </c>
      <c r="G366" s="956" t="n"/>
      <c r="H366" s="955" t="n"/>
      <c r="I366" s="955" t="n"/>
      <c r="J366" s="955" t="n"/>
      <c r="K366" s="955" t="n"/>
      <c r="L366" s="9" t="n"/>
      <c r="M366" s="9" t="n"/>
      <c r="N366" s="9" t="n"/>
      <c r="O366" s="9" t="n"/>
      <c r="P366" s="9" t="n"/>
      <c r="Q366" s="9" t="n"/>
      <c r="R366" s="9" t="n"/>
    </row>
    <row r="367" ht="13.5" customHeight="1">
      <c r="A367" s="781" t="inlineStr">
        <is>
          <t>備考</t>
        </is>
      </c>
      <c r="B367" s="470" t="n"/>
      <c r="C367" s="471" t="n"/>
      <c r="D367" s="471" t="n"/>
      <c r="E367" s="471" t="n"/>
      <c r="F367" s="471" t="n"/>
      <c r="G367" s="531" t="n"/>
      <c r="H367" s="492" t="n"/>
      <c r="I367" s="492" t="n"/>
      <c r="J367" s="492" t="n"/>
      <c r="K367" s="493" t="n"/>
      <c r="L367" s="9" t="n"/>
      <c r="M367" s="9" t="n"/>
      <c r="N367" s="9" t="n"/>
      <c r="O367" s="9" t="n"/>
      <c r="P367" s="9" t="n"/>
      <c r="Q367" s="9" t="n"/>
      <c r="R367" s="9" t="n"/>
    </row>
    <row r="368" ht="94.5" customHeight="1">
      <c r="A368" s="626" t="n"/>
      <c r="B368" s="494" t="n"/>
      <c r="C368" s="495" t="n"/>
      <c r="D368" s="495" t="n"/>
      <c r="E368" s="495" t="n"/>
      <c r="F368" s="495" t="n"/>
      <c r="G368" s="496" t="n"/>
      <c r="H368" s="496" t="n"/>
      <c r="I368" s="496" t="n"/>
      <c r="J368" s="496" t="n"/>
      <c r="K368" s="497" t="n"/>
      <c r="L368" s="9" t="n"/>
      <c r="M368" s="9" t="n"/>
      <c r="N368" s="9" t="n"/>
      <c r="O368" s="9" t="n"/>
      <c r="P368" s="9" t="n"/>
      <c r="Q368" s="9" t="n"/>
      <c r="R368" s="9" t="n"/>
    </row>
    <row r="369" ht="21" customHeight="1">
      <c r="A369" s="299" t="inlineStr">
        <is>
          <t xml:space="preserve">　電気設備日常点検（３/３）</t>
        </is>
      </c>
      <c r="B369" s="128" t="n"/>
      <c r="C369" s="128" t="n"/>
      <c r="D369" s="128" t="n"/>
      <c r="E369" s="128" t="n"/>
      <c r="F369" s="128" t="n"/>
      <c r="G369" s="128" t="n"/>
      <c r="H369" s="128" t="n"/>
      <c r="I369" s="128" t="n"/>
      <c r="J369" s="128" t="n"/>
      <c r="K369" s="355">
        <f>K1</f>
        <v/>
      </c>
      <c r="L369" s="9" t="n"/>
      <c r="M369" s="9" t="n"/>
      <c r="N369" s="9" t="n"/>
      <c r="O369" s="9" t="n"/>
      <c r="P369" s="9" t="n"/>
      <c r="Q369" s="9" t="n"/>
      <c r="R369" s="9" t="n"/>
    </row>
    <row r="370" ht="13.5" customHeight="1">
      <c r="A370" s="768" t="n"/>
      <c r="B370" s="765" t="inlineStr">
        <is>
          <t>機器名</t>
        </is>
      </c>
      <c r="C370" s="587" t="n"/>
      <c r="D370" s="765" t="inlineStr">
        <is>
          <t>点　　検　　者　　氏　　名</t>
        </is>
      </c>
      <c r="E370" s="574" t="n"/>
      <c r="F370" s="580" t="n"/>
      <c r="G370" s="308" t="n"/>
      <c r="H370" s="309" t="n"/>
      <c r="I370" s="309" t="n"/>
      <c r="J370" s="309" t="n"/>
      <c r="K370" s="309" t="n"/>
      <c r="L370" s="9" t="n"/>
      <c r="M370" s="9" t="n"/>
      <c r="N370" s="9" t="n"/>
      <c r="O370" s="9" t="n"/>
      <c r="P370" s="9" t="n"/>
      <c r="Q370" s="9" t="n"/>
      <c r="R370" s="9" t="n"/>
    </row>
    <row r="371" ht="13.5" customHeight="1">
      <c r="A371" s="626" t="n"/>
      <c r="B371" s="590" t="n"/>
      <c r="C371" s="591" t="n"/>
      <c r="D371" s="765" t="inlineStr">
        <is>
          <t>点　　　検　　　内　　　容</t>
        </is>
      </c>
      <c r="E371" s="574" t="n"/>
      <c r="F371" s="580" t="n"/>
      <c r="G371" s="949" t="n"/>
      <c r="H371" s="948" t="n"/>
      <c r="I371" s="948" t="n"/>
      <c r="J371" s="948" t="n"/>
      <c r="K371" s="948" t="n"/>
      <c r="L371" s="9" t="n"/>
      <c r="M371" s="9" t="n"/>
      <c r="N371" s="9" t="n"/>
      <c r="O371" s="9" t="n"/>
      <c r="P371" s="9" t="n"/>
      <c r="Q371" s="9" t="n"/>
      <c r="R371" s="9" t="n"/>
    </row>
    <row r="372" ht="16.5" customHeight="1">
      <c r="A372" s="759" t="inlineStr">
        <is>
          <t>計装設備</t>
        </is>
      </c>
      <c r="B372" s="763" t="inlineStr">
        <is>
          <t>全窒素・全燐計</t>
        </is>
      </c>
      <c r="C372" s="587" t="n"/>
      <c r="D372" s="758" t="inlineStr">
        <is>
          <t>外観の確認</t>
        </is>
      </c>
      <c r="E372" s="583" t="n"/>
      <c r="F372" s="445" t="n"/>
      <c r="G372" s="332" t="n"/>
      <c r="H372" s="333" t="n"/>
      <c r="I372" s="333" t="n"/>
      <c r="J372" s="333" t="n"/>
      <c r="K372" s="333" t="n"/>
      <c r="L372" s="9" t="n"/>
      <c r="M372" s="9" t="n"/>
      <c r="N372" s="9" t="n"/>
      <c r="O372" s="9" t="n"/>
      <c r="P372" s="9" t="n"/>
      <c r="Q372" s="9" t="n"/>
      <c r="R372" s="9" t="n"/>
    </row>
    <row r="373" ht="16.5" customHeight="1">
      <c r="A373" s="679" t="n"/>
      <c r="B373" s="613" t="n"/>
      <c r="C373" s="602" t="n"/>
      <c r="D373" s="757" t="inlineStr">
        <is>
          <t>指示状況の確認</t>
        </is>
      </c>
      <c r="E373" s="577" t="n"/>
      <c r="F373" s="459" t="n"/>
      <c r="G373" s="448" t="n"/>
      <c r="H373" s="447" t="n"/>
      <c r="I373" s="447" t="n"/>
      <c r="J373" s="447" t="n"/>
      <c r="K373" s="447" t="n"/>
      <c r="L373" s="9" t="n"/>
      <c r="M373" s="9" t="n"/>
      <c r="N373" s="9" t="n"/>
      <c r="O373" s="9" t="n"/>
      <c r="P373" s="9" t="n"/>
      <c r="Q373" s="9" t="n"/>
      <c r="R373" s="9" t="n"/>
    </row>
    <row r="374" ht="16.5" customHeight="1">
      <c r="A374" s="679" t="n"/>
      <c r="B374" s="613" t="n"/>
      <c r="C374" s="602" t="n"/>
      <c r="D374" s="757" t="inlineStr">
        <is>
          <t>計器読み（全窒素）</t>
        </is>
      </c>
      <c r="E374" s="577" t="n"/>
      <c r="F374" s="459" t="inlineStr">
        <is>
          <t>㎎/ℓ</t>
        </is>
      </c>
      <c r="G374" s="467" t="n"/>
      <c r="H374" s="466" t="n"/>
      <c r="I374" s="466" t="n"/>
      <c r="J374" s="466" t="n"/>
      <c r="K374" s="466" t="n"/>
      <c r="L374" s="9" t="n"/>
      <c r="M374" s="9" t="n"/>
      <c r="N374" s="9" t="n"/>
      <c r="O374" s="9" t="n"/>
      <c r="P374" s="9" t="n"/>
      <c r="Q374" s="9" t="n"/>
      <c r="R374" s="9" t="n"/>
    </row>
    <row r="375" ht="16.5" customHeight="1">
      <c r="A375" s="679" t="n"/>
      <c r="B375" s="590" t="n"/>
      <c r="C375" s="591" t="n"/>
      <c r="D375" s="772" t="inlineStr">
        <is>
          <t>計器読み（全りん）</t>
        </is>
      </c>
      <c r="E375" s="608" t="n"/>
      <c r="F375" s="449" t="inlineStr">
        <is>
          <t>㎎/ℓ</t>
        </is>
      </c>
      <c r="G375" s="451" t="n"/>
      <c r="H375" s="450" t="n"/>
      <c r="I375" s="450" t="n"/>
      <c r="J375" s="450" t="n"/>
      <c r="K375" s="450" t="n"/>
      <c r="L375" s="9" t="n"/>
      <c r="M375" s="9" t="n"/>
      <c r="N375" s="9" t="n"/>
      <c r="O375" s="9" t="n"/>
      <c r="P375" s="9" t="n"/>
      <c r="Q375" s="9" t="n"/>
      <c r="R375" s="9" t="n"/>
    </row>
    <row r="376" ht="16.5" customHeight="1">
      <c r="A376" s="679" t="n"/>
      <c r="B376" s="767" t="inlineStr">
        <is>
          <t>圧力式液位計</t>
        </is>
      </c>
      <c r="C376" s="587" t="n"/>
      <c r="D376" s="758" t="inlineStr">
        <is>
          <t>外観の確認</t>
        </is>
      </c>
      <c r="E376" s="482" t="n"/>
      <c r="F376" s="445" t="n"/>
      <c r="G376" s="332" t="n"/>
      <c r="H376" s="333" t="n"/>
      <c r="I376" s="333" t="n"/>
      <c r="J376" s="333" t="n"/>
      <c r="K376" s="333" t="n"/>
      <c r="L376" s="9" t="n"/>
      <c r="M376" s="9" t="n"/>
      <c r="N376" s="9" t="n"/>
      <c r="O376" s="9" t="n"/>
      <c r="P376" s="9" t="n"/>
      <c r="Q376" s="9" t="n"/>
      <c r="R376" s="9" t="n"/>
    </row>
    <row r="377" ht="16.5" customHeight="1">
      <c r="A377" s="679" t="n"/>
      <c r="B377" s="613" t="n"/>
      <c r="C377" s="602" t="n"/>
      <c r="D377" s="757" t="inlineStr">
        <is>
          <t>指示状況の確認</t>
        </is>
      </c>
      <c r="E377" s="483" t="n"/>
      <c r="F377" s="459" t="n"/>
      <c r="G377" s="448" t="n"/>
      <c r="H377" s="447" t="n"/>
      <c r="I377" s="447" t="n"/>
      <c r="J377" s="447" t="n"/>
      <c r="K377" s="447" t="n"/>
      <c r="L377" s="9" t="n"/>
      <c r="M377" s="9" t="n"/>
      <c r="N377" s="9" t="n"/>
      <c r="O377" s="9" t="n"/>
      <c r="P377" s="9" t="n"/>
      <c r="Q377" s="9" t="n"/>
      <c r="R377" s="9" t="n"/>
    </row>
    <row r="378" ht="16.5" customHeight="1">
      <c r="A378" s="626" t="n"/>
      <c r="B378" s="590" t="n"/>
      <c r="C378" s="591" t="n"/>
      <c r="D378" s="772" t="inlineStr">
        <is>
          <t>機器指示地の記録</t>
        </is>
      </c>
      <c r="E378" s="484" t="n"/>
      <c r="F378" s="449" t="inlineStr">
        <is>
          <t>ｍ</t>
        </is>
      </c>
      <c r="G378" s="947" t="n"/>
      <c r="H378" s="946" t="n"/>
      <c r="I378" s="946" t="n"/>
      <c r="J378" s="946" t="n"/>
      <c r="K378" s="946" t="n"/>
      <c r="L378" s="9" t="n"/>
      <c r="M378" s="9" t="n"/>
      <c r="N378" s="9" t="n"/>
      <c r="O378" s="9" t="n"/>
      <c r="P378" s="9" t="n"/>
      <c r="Q378" s="9" t="n"/>
      <c r="R378" s="9" t="n"/>
    </row>
    <row r="379" ht="16.5" customHeight="1">
      <c r="A379" s="780" t="inlineStr">
        <is>
          <t>発電機設備</t>
        </is>
      </c>
      <c r="B379" s="776" t="inlineStr">
        <is>
          <t>発電機盤</t>
        </is>
      </c>
      <c r="C379" s="580" t="n"/>
      <c r="D379" s="769" t="inlineStr">
        <is>
          <t>外観の確認</t>
        </is>
      </c>
      <c r="E379" s="574" t="n"/>
      <c r="F379" s="307" t="n"/>
      <c r="G379" s="308" t="n"/>
      <c r="H379" s="309" t="n"/>
      <c r="I379" s="309" t="n"/>
      <c r="J379" s="309" t="n"/>
      <c r="K379" s="309" t="n"/>
      <c r="L379" s="9" t="n"/>
      <c r="M379" s="9" t="n"/>
      <c r="N379" s="9" t="n"/>
      <c r="O379" s="9" t="n"/>
      <c r="P379" s="9" t="n"/>
      <c r="Q379" s="9" t="n"/>
      <c r="R379" s="9" t="n"/>
    </row>
    <row r="380" ht="16.5" customHeight="1">
      <c r="A380" s="679" t="n"/>
      <c r="B380" s="776" t="inlineStr">
        <is>
          <t>エンジン</t>
        </is>
      </c>
      <c r="C380" s="580" t="n"/>
      <c r="D380" s="769" t="inlineStr">
        <is>
          <t>外観の確認</t>
        </is>
      </c>
      <c r="E380" s="574" t="n"/>
      <c r="F380" s="307" t="n"/>
      <c r="G380" s="332" t="n"/>
      <c r="H380" s="333" t="n"/>
      <c r="I380" s="333" t="n"/>
      <c r="J380" s="333" t="n"/>
      <c r="K380" s="333" t="n"/>
      <c r="L380" s="9" t="n"/>
      <c r="M380" s="9" t="n"/>
      <c r="N380" s="9" t="n"/>
      <c r="O380" s="9" t="n"/>
      <c r="P380" s="9" t="n"/>
      <c r="Q380" s="9" t="n"/>
      <c r="R380" s="9" t="n"/>
    </row>
    <row r="381" ht="16.5" customHeight="1">
      <c r="A381" s="679" t="n"/>
      <c r="B381" s="776" t="inlineStr">
        <is>
          <t>燃料タンク</t>
        </is>
      </c>
      <c r="C381" s="587" t="n"/>
      <c r="D381" s="758" t="inlineStr">
        <is>
          <t>外観の確認</t>
        </is>
      </c>
      <c r="E381" s="583" t="n"/>
      <c r="F381" s="445" t="n"/>
      <c r="G381" s="332" t="n"/>
      <c r="H381" s="333" t="n"/>
      <c r="I381" s="333" t="n"/>
      <c r="J381" s="333" t="n"/>
      <c r="K381" s="333" t="n"/>
      <c r="L381" s="9" t="n"/>
      <c r="M381" s="9" t="n"/>
      <c r="N381" s="9" t="n"/>
      <c r="O381" s="9" t="n"/>
      <c r="P381" s="9" t="n"/>
      <c r="Q381" s="9" t="n"/>
      <c r="R381" s="9" t="n"/>
    </row>
    <row r="382" ht="16.5" customHeight="1">
      <c r="A382" s="679" t="n"/>
      <c r="B382" s="598" t="n"/>
      <c r="C382" s="591" t="n"/>
      <c r="D382" s="772" t="inlineStr">
        <is>
          <t>残量の値</t>
        </is>
      </c>
      <c r="E382" s="608" t="n"/>
      <c r="F382" s="449" t="inlineStr">
        <is>
          <t>ℓ</t>
        </is>
      </c>
      <c r="G382" s="486" t="n"/>
      <c r="H382" s="485" t="n"/>
      <c r="I382" s="485" t="n"/>
      <c r="J382" s="485" t="n"/>
      <c r="K382" s="485" t="n"/>
      <c r="L382" s="345" t="n"/>
      <c r="M382" s="9" t="n"/>
      <c r="N382" s="9" t="n"/>
      <c r="O382" s="9" t="n"/>
      <c r="P382" s="9" t="n"/>
      <c r="Q382" s="9" t="n"/>
      <c r="R382" s="9" t="n"/>
    </row>
    <row r="383" ht="16.5" customHeight="1">
      <c r="A383" s="759" t="inlineStr">
        <is>
          <t>他</t>
        </is>
      </c>
      <c r="B383" s="763" t="inlineStr">
        <is>
          <t>通報装置</t>
        </is>
      </c>
      <c r="C383" s="580" t="n"/>
      <c r="D383" s="769" t="inlineStr">
        <is>
          <t>通報状態の確認</t>
        </is>
      </c>
      <c r="E383" s="574" t="n"/>
      <c r="F383" s="307" t="n"/>
      <c r="G383" s="308" t="n"/>
      <c r="H383" s="309" t="n"/>
      <c r="I383" s="309" t="n"/>
      <c r="J383" s="309" t="n"/>
      <c r="K383" s="309" t="n"/>
      <c r="L383" s="9" t="n"/>
      <c r="M383" s="9" t="n"/>
      <c r="N383" s="9" t="n"/>
      <c r="O383" s="9" t="n"/>
      <c r="P383" s="9" t="n"/>
      <c r="Q383" s="9" t="n"/>
      <c r="R383" s="9" t="n"/>
    </row>
    <row r="384" ht="16.5" customHeight="1">
      <c r="A384" s="487" t="n"/>
      <c r="B384" s="747" t="inlineStr">
        <is>
          <t>○：良　　△：要注意　　×要修理</t>
        </is>
      </c>
      <c r="C384" s="747" t="n"/>
      <c r="D384" s="747" t="n"/>
      <c r="E384" s="747" t="n"/>
      <c r="F384" s="488" t="n"/>
      <c r="G384" s="532" t="n"/>
      <c r="H384" s="489" t="n"/>
      <c r="I384" s="489" t="n"/>
      <c r="J384" s="507" t="n"/>
      <c r="K384" s="489" t="n"/>
      <c r="L384" s="9" t="n"/>
      <c r="M384" s="9" t="n"/>
      <c r="N384" s="9" t="n"/>
      <c r="O384" s="9" t="n"/>
      <c r="P384" s="9" t="n"/>
      <c r="Q384" s="9" t="n"/>
      <c r="R384" s="9" t="n"/>
    </row>
    <row r="385" ht="16.5" customHeight="1">
      <c r="A385" s="759" t="inlineStr">
        <is>
          <t>備　　　　　考</t>
        </is>
      </c>
      <c r="B385" s="470" t="n"/>
      <c r="C385" s="471" t="n"/>
      <c r="D385" s="471" t="n"/>
      <c r="E385" s="471" t="n"/>
      <c r="F385" s="471" t="n"/>
      <c r="G385" s="492" t="n"/>
      <c r="H385" s="492" t="n"/>
      <c r="I385" s="492" t="n"/>
      <c r="J385" s="476" t="n"/>
      <c r="K385" s="493" t="n"/>
      <c r="L385" s="9" t="n"/>
      <c r="M385" s="9" t="n"/>
      <c r="N385" s="9" t="n"/>
      <c r="O385" s="9" t="n"/>
      <c r="P385" s="9" t="n"/>
      <c r="Q385" s="9" t="n"/>
      <c r="R385" s="9" t="n"/>
    </row>
    <row r="386" ht="16.5" customHeight="1">
      <c r="A386" s="679" t="n"/>
      <c r="B386" s="474" t="n"/>
      <c r="C386" s="475" t="n"/>
      <c r="D386" s="475" t="n"/>
      <c r="E386" s="475" t="n"/>
      <c r="F386" s="475" t="n"/>
      <c r="G386" s="476" t="n"/>
      <c r="H386" s="476" t="n"/>
      <c r="I386" s="476" t="n"/>
      <c r="J386" s="476" t="n"/>
      <c r="K386" s="477" t="n"/>
      <c r="L386" s="9" t="n"/>
      <c r="M386" s="9" t="n"/>
      <c r="N386" s="9" t="n"/>
      <c r="O386" s="9" t="n"/>
      <c r="P386" s="9" t="n"/>
      <c r="Q386" s="9" t="n"/>
      <c r="R386" s="9" t="n"/>
    </row>
    <row r="387" ht="16.5" customHeight="1">
      <c r="A387" s="679" t="n"/>
      <c r="B387" s="474" t="n"/>
      <c r="C387" s="475" t="n"/>
      <c r="D387" s="475" t="n"/>
      <c r="E387" s="475" t="n"/>
      <c r="F387" s="475" t="n"/>
      <c r="G387" s="476" t="n"/>
      <c r="H387" s="476" t="n"/>
      <c r="I387" s="476" t="n"/>
      <c r="J387" s="476" t="n"/>
      <c r="K387" s="477" t="n"/>
      <c r="L387" s="9" t="n"/>
      <c r="M387" s="9" t="n"/>
      <c r="N387" s="9" t="n"/>
      <c r="O387" s="9" t="n"/>
      <c r="P387" s="9" t="n"/>
      <c r="Q387" s="9" t="n"/>
      <c r="R387" s="9" t="n"/>
    </row>
    <row r="388" ht="16.5" customHeight="1">
      <c r="A388" s="679" t="n"/>
      <c r="B388" s="474" t="n"/>
      <c r="C388" s="475" t="n"/>
      <c r="D388" s="475" t="n"/>
      <c r="E388" s="475" t="n"/>
      <c r="F388" s="475" t="n"/>
      <c r="G388" s="476" t="n"/>
      <c r="H388" s="476" t="n"/>
      <c r="I388" s="476" t="n"/>
      <c r="J388" s="476" t="n"/>
      <c r="K388" s="477" t="n"/>
      <c r="L388" s="9" t="n"/>
      <c r="M388" s="9" t="n"/>
      <c r="N388" s="9" t="n"/>
      <c r="O388" s="9" t="n"/>
      <c r="P388" s="9" t="n"/>
      <c r="Q388" s="9" t="n"/>
      <c r="R388" s="9" t="n"/>
    </row>
    <row r="389" ht="16.5" customHeight="1">
      <c r="A389" s="679" t="n"/>
      <c r="B389" s="474" t="n"/>
      <c r="C389" s="475" t="n"/>
      <c r="D389" s="475" t="n"/>
      <c r="E389" s="475" t="n"/>
      <c r="F389" s="475" t="n"/>
      <c r="G389" s="476" t="n"/>
      <c r="H389" s="476" t="n"/>
      <c r="I389" s="476" t="n"/>
      <c r="J389" s="476" t="n"/>
      <c r="K389" s="477" t="n"/>
      <c r="L389" s="9" t="n"/>
      <c r="M389" s="9" t="n"/>
      <c r="N389" s="9" t="n"/>
      <c r="O389" s="9" t="n"/>
      <c r="P389" s="9" t="n"/>
      <c r="Q389" s="9" t="n"/>
      <c r="R389" s="9" t="n"/>
    </row>
    <row r="390" ht="16.5" customHeight="1">
      <c r="A390" s="679" t="n"/>
      <c r="B390" s="474" t="n"/>
      <c r="C390" s="475" t="n"/>
      <c r="D390" s="475" t="n"/>
      <c r="E390" s="475" t="n"/>
      <c r="F390" s="475" t="n"/>
      <c r="G390" s="476" t="n"/>
      <c r="H390" s="476" t="n"/>
      <c r="I390" s="476" t="n"/>
      <c r="J390" s="476" t="n"/>
      <c r="K390" s="477" t="n"/>
      <c r="L390" s="9" t="n"/>
      <c r="M390" s="9" t="n"/>
      <c r="N390" s="9" t="n"/>
      <c r="O390" s="9" t="n"/>
      <c r="P390" s="9" t="n"/>
      <c r="Q390" s="9" t="n"/>
      <c r="R390" s="9" t="n"/>
    </row>
    <row r="391" ht="16.5" customHeight="1">
      <c r="A391" s="679" t="n"/>
      <c r="B391" s="474" t="n"/>
      <c r="C391" s="475" t="n"/>
      <c r="D391" s="475" t="n"/>
      <c r="E391" s="475" t="n"/>
      <c r="F391" s="475" t="n"/>
      <c r="G391" s="476" t="n"/>
      <c r="H391" s="476" t="n"/>
      <c r="I391" s="476" t="n"/>
      <c r="J391" s="476" t="n"/>
      <c r="K391" s="477" t="n"/>
      <c r="L391" s="9" t="n"/>
      <c r="M391" s="9" t="n"/>
      <c r="N391" s="9" t="n"/>
      <c r="O391" s="9" t="n"/>
      <c r="P391" s="9" t="n"/>
      <c r="Q391" s="9" t="n"/>
      <c r="R391" s="9" t="n"/>
    </row>
    <row r="392" ht="16.5" customHeight="1">
      <c r="A392" s="679" t="n"/>
      <c r="B392" s="474" t="n"/>
      <c r="C392" s="475" t="n"/>
      <c r="D392" s="475" t="n"/>
      <c r="E392" s="475" t="n"/>
      <c r="F392" s="475" t="n"/>
      <c r="G392" s="476" t="n"/>
      <c r="H392" s="476" t="n"/>
      <c r="I392" s="476" t="n"/>
      <c r="J392" s="476" t="n"/>
      <c r="K392" s="477" t="n"/>
      <c r="L392" s="9" t="n"/>
      <c r="M392" s="9" t="n"/>
      <c r="N392" s="9" t="n"/>
      <c r="O392" s="9" t="n"/>
      <c r="P392" s="9" t="n"/>
      <c r="Q392" s="9" t="n"/>
      <c r="R392" s="9" t="n"/>
    </row>
    <row r="393" ht="16.5" customHeight="1">
      <c r="A393" s="679" t="n"/>
      <c r="B393" s="474" t="n"/>
      <c r="C393" s="475" t="n"/>
      <c r="D393" s="475" t="n"/>
      <c r="E393" s="475" t="n"/>
      <c r="F393" s="475" t="n"/>
      <c r="G393" s="476" t="n"/>
      <c r="H393" s="476" t="n"/>
      <c r="I393" s="476" t="n"/>
      <c r="J393" s="476" t="n"/>
      <c r="K393" s="477" t="n"/>
      <c r="L393" s="9" t="n"/>
      <c r="M393" s="9" t="n"/>
      <c r="N393" s="9" t="n"/>
      <c r="O393" s="9" t="n"/>
      <c r="P393" s="9" t="n"/>
      <c r="Q393" s="9" t="n"/>
      <c r="R393" s="9" t="n"/>
    </row>
    <row r="394" ht="16.5" customHeight="1">
      <c r="A394" s="679" t="n"/>
      <c r="B394" s="474" t="n"/>
      <c r="C394" s="475" t="n"/>
      <c r="D394" s="475" t="n"/>
      <c r="E394" s="475" t="n"/>
      <c r="F394" s="475" t="n"/>
      <c r="G394" s="476" t="n"/>
      <c r="H394" s="476" t="n"/>
      <c r="I394" s="476" t="n"/>
      <c r="J394" s="476" t="n"/>
      <c r="K394" s="477" t="n"/>
      <c r="L394" s="9" t="n"/>
      <c r="M394" s="9" t="n"/>
      <c r="N394" s="9" t="n"/>
      <c r="O394" s="9" t="n"/>
      <c r="P394" s="9" t="n"/>
      <c r="Q394" s="9" t="n"/>
      <c r="R394" s="9" t="n"/>
    </row>
    <row r="395" ht="16.5" customHeight="1">
      <c r="A395" s="679" t="n"/>
      <c r="B395" s="474" t="n"/>
      <c r="C395" s="475" t="n"/>
      <c r="D395" s="475" t="n"/>
      <c r="E395" s="475" t="n"/>
      <c r="F395" s="475" t="n"/>
      <c r="G395" s="476" t="n"/>
      <c r="H395" s="476" t="n"/>
      <c r="I395" s="476" t="n"/>
      <c r="J395" s="476" t="n"/>
      <c r="K395" s="477" t="n"/>
      <c r="L395" s="9" t="n"/>
      <c r="M395" s="9" t="n"/>
      <c r="N395" s="9" t="n"/>
      <c r="O395" s="9" t="n"/>
      <c r="P395" s="9" t="n"/>
      <c r="Q395" s="9" t="n"/>
      <c r="R395" s="9" t="n"/>
    </row>
    <row r="396" ht="16.5" customHeight="1">
      <c r="A396" s="679" t="n"/>
      <c r="B396" s="474" t="n"/>
      <c r="C396" s="475" t="n"/>
      <c r="D396" s="475" t="n"/>
      <c r="E396" s="475" t="n"/>
      <c r="F396" s="475" t="n"/>
      <c r="G396" s="476" t="n"/>
      <c r="H396" s="476" t="n"/>
      <c r="I396" s="476" t="n"/>
      <c r="J396" s="476" t="n"/>
      <c r="K396" s="477" t="n"/>
      <c r="L396" s="9" t="n"/>
      <c r="M396" s="9" t="n"/>
      <c r="N396" s="9" t="n"/>
      <c r="O396" s="9" t="n"/>
      <c r="P396" s="9" t="n"/>
      <c r="Q396" s="9" t="n"/>
      <c r="R396" s="9" t="n"/>
    </row>
    <row r="397" ht="16.5" customHeight="1">
      <c r="A397" s="679" t="n"/>
      <c r="B397" s="474" t="n"/>
      <c r="C397" s="475" t="n"/>
      <c r="D397" s="475" t="n"/>
      <c r="E397" s="475" t="n"/>
      <c r="F397" s="475" t="n"/>
      <c r="G397" s="476" t="n"/>
      <c r="H397" s="476" t="n"/>
      <c r="I397" s="476" t="n"/>
      <c r="J397" s="476" t="n"/>
      <c r="K397" s="477" t="n"/>
      <c r="L397" s="9" t="n"/>
      <c r="M397" s="9" t="n"/>
      <c r="N397" s="9" t="n"/>
      <c r="O397" s="9" t="n"/>
      <c r="P397" s="9" t="n"/>
      <c r="Q397" s="9" t="n"/>
      <c r="R397" s="9" t="n"/>
    </row>
    <row r="398" ht="16.5" customHeight="1">
      <c r="A398" s="679" t="n"/>
      <c r="B398" s="474" t="n"/>
      <c r="C398" s="475" t="n"/>
      <c r="D398" s="475" t="n"/>
      <c r="E398" s="475" t="n"/>
      <c r="F398" s="475" t="n"/>
      <c r="G398" s="476" t="n"/>
      <c r="H398" s="476" t="n"/>
      <c r="I398" s="476" t="n"/>
      <c r="J398" s="476" t="n"/>
      <c r="K398" s="477" t="n"/>
      <c r="L398" s="9" t="n"/>
      <c r="M398" s="9" t="n"/>
      <c r="N398" s="9" t="n"/>
      <c r="O398" s="9" t="n"/>
      <c r="P398" s="9" t="n"/>
      <c r="Q398" s="9" t="n"/>
      <c r="R398" s="9" t="n"/>
    </row>
    <row r="399" ht="16.5" customHeight="1">
      <c r="A399" s="679" t="n"/>
      <c r="B399" s="474" t="n"/>
      <c r="C399" s="475" t="n"/>
      <c r="D399" s="475" t="n"/>
      <c r="E399" s="475" t="n"/>
      <c r="F399" s="475" t="n"/>
      <c r="G399" s="476" t="n"/>
      <c r="H399" s="476" t="n"/>
      <c r="I399" s="476" t="n"/>
      <c r="J399" s="476" t="n"/>
      <c r="K399" s="477" t="n"/>
      <c r="L399" s="9" t="n"/>
      <c r="M399" s="9" t="n"/>
      <c r="N399" s="9" t="n"/>
      <c r="O399" s="9" t="n"/>
      <c r="P399" s="9" t="n"/>
      <c r="Q399" s="9" t="n"/>
      <c r="R399" s="9" t="n"/>
    </row>
    <row r="400" ht="16.5" customHeight="1">
      <c r="A400" s="679" t="n"/>
      <c r="B400" s="474" t="n"/>
      <c r="C400" s="475" t="n"/>
      <c r="D400" s="475" t="n"/>
      <c r="E400" s="475" t="n"/>
      <c r="F400" s="475" t="n"/>
      <c r="G400" s="476" t="n"/>
      <c r="H400" s="476" t="n"/>
      <c r="I400" s="476" t="n"/>
      <c r="J400" s="476" t="n"/>
      <c r="K400" s="477" t="n"/>
      <c r="L400" s="9" t="n"/>
      <c r="M400" s="9" t="n"/>
      <c r="N400" s="9" t="n"/>
      <c r="O400" s="9" t="n"/>
      <c r="P400" s="9" t="n"/>
      <c r="Q400" s="9" t="n"/>
      <c r="R400" s="9" t="n"/>
    </row>
    <row r="401" ht="16.5" customHeight="1">
      <c r="A401" s="679" t="n"/>
      <c r="B401" s="474" t="n"/>
      <c r="C401" s="475" t="n"/>
      <c r="D401" s="475" t="n"/>
      <c r="E401" s="475" t="n"/>
      <c r="F401" s="475" t="n"/>
      <c r="G401" s="476" t="n"/>
      <c r="H401" s="476" t="n"/>
      <c r="I401" s="476" t="n"/>
      <c r="J401" s="476" t="n"/>
      <c r="K401" s="477" t="n"/>
      <c r="L401" s="9" t="n"/>
      <c r="M401" s="9" t="n"/>
      <c r="N401" s="9" t="n"/>
      <c r="O401" s="9" t="n"/>
      <c r="P401" s="9" t="n"/>
      <c r="Q401" s="9" t="n"/>
      <c r="R401" s="9" t="n"/>
    </row>
    <row r="402" ht="16.5" customHeight="1">
      <c r="A402" s="679" t="n"/>
      <c r="B402" s="474" t="n"/>
      <c r="C402" s="475" t="n"/>
      <c r="D402" s="475" t="n"/>
      <c r="E402" s="475" t="n"/>
      <c r="F402" s="475" t="n"/>
      <c r="G402" s="476" t="n"/>
      <c r="H402" s="476" t="n"/>
      <c r="I402" s="476" t="n"/>
      <c r="J402" s="476" t="n"/>
      <c r="K402" s="477" t="n"/>
      <c r="L402" s="9" t="n"/>
      <c r="M402" s="9" t="n"/>
      <c r="N402" s="9" t="n"/>
      <c r="O402" s="9" t="n"/>
      <c r="P402" s="9" t="n"/>
      <c r="Q402" s="9" t="n"/>
      <c r="R402" s="9" t="n"/>
    </row>
    <row r="403" ht="16.5" customHeight="1">
      <c r="A403" s="626" t="n"/>
      <c r="B403" s="494" t="n"/>
      <c r="C403" s="495" t="n"/>
      <c r="D403" s="495" t="n"/>
      <c r="E403" s="495" t="n"/>
      <c r="F403" s="495" t="n"/>
      <c r="G403" s="496" t="n"/>
      <c r="H403" s="496" t="n"/>
      <c r="I403" s="496" t="n"/>
      <c r="J403" s="496" t="n"/>
      <c r="K403" s="497" t="n"/>
      <c r="L403" s="9" t="n"/>
      <c r="M403" s="9" t="n"/>
      <c r="N403" s="9" t="n"/>
      <c r="O403" s="9" t="n"/>
      <c r="P403" s="9" t="n"/>
      <c r="Q403" s="9" t="n"/>
      <c r="R403" s="9" t="n"/>
    </row>
    <row r="404" ht="21" customHeight="1">
      <c r="A404" s="299" t="inlineStr">
        <is>
          <t xml:space="preserve">　電気設備日常点検（１/３）</t>
        </is>
      </c>
      <c r="B404" s="128" t="n"/>
      <c r="C404" s="128" t="n"/>
      <c r="D404" s="128" t="n"/>
      <c r="E404" s="128" t="n"/>
      <c r="F404" s="128" t="n"/>
      <c r="G404" s="128" t="n"/>
      <c r="H404" s="128" t="n"/>
      <c r="I404" s="128" t="n"/>
      <c r="J404" s="128" t="n"/>
      <c r="K404" s="355">
        <f>K1</f>
        <v/>
      </c>
      <c r="L404" s="9" t="n"/>
      <c r="M404" s="9" t="n"/>
      <c r="N404" s="9" t="n"/>
      <c r="O404" s="9" t="n"/>
      <c r="P404" s="9" t="n"/>
      <c r="Q404" s="9" t="n"/>
      <c r="R404" s="9" t="n"/>
    </row>
    <row r="405" ht="13.5" customHeight="1">
      <c r="A405" s="128" t="n"/>
      <c r="B405" s="128" t="n"/>
      <c r="C405" s="128" t="n"/>
      <c r="D405" s="128" t="n"/>
      <c r="E405" s="128" t="n"/>
      <c r="F405" s="128" t="n"/>
      <c r="G405" s="948" t="n"/>
      <c r="H405" s="948" t="n"/>
      <c r="I405" s="970" t="n"/>
      <c r="J405" s="970" t="n"/>
      <c r="K405" s="970" t="n"/>
      <c r="L405" s="9" t="n"/>
      <c r="M405" s="9" t="n"/>
      <c r="N405" s="9" t="n"/>
      <c r="O405" s="9" t="n"/>
      <c r="P405" s="9" t="n"/>
      <c r="Q405" s="9" t="n"/>
      <c r="R405" s="9" t="n"/>
    </row>
    <row r="406" ht="17.25" customHeight="1">
      <c r="A406" s="775" t="inlineStr">
        <is>
          <t>電　　　　　気　　　　　室</t>
        </is>
      </c>
      <c r="B406" s="775" t="inlineStr">
        <is>
          <t>引込・受電</t>
        </is>
      </c>
      <c r="C406" s="763" t="inlineStr">
        <is>
          <t>電圧</t>
        </is>
      </c>
      <c r="D406" s="586" t="n"/>
      <c r="E406" s="587" t="n"/>
      <c r="F406" s="414" t="inlineStr">
        <is>
          <t>KV</t>
        </is>
      </c>
      <c r="G406" s="333" t="n"/>
      <c r="H406" s="333" t="n"/>
      <c r="I406" s="400" t="n"/>
      <c r="J406" s="400" t="n"/>
      <c r="K406" s="400" t="n"/>
      <c r="L406" s="9" t="n"/>
      <c r="M406" s="9" t="n"/>
      <c r="N406" s="9" t="n"/>
      <c r="O406" s="9" t="n"/>
      <c r="P406" s="9" t="n"/>
      <c r="Q406" s="9" t="n"/>
      <c r="R406" s="9" t="n"/>
    </row>
    <row r="407" ht="17.25" customHeight="1">
      <c r="A407" s="679" t="n"/>
      <c r="B407" s="679" t="n"/>
      <c r="C407" s="590" t="n"/>
      <c r="D407" s="598" t="n"/>
      <c r="E407" s="591" t="n"/>
      <c r="F407" s="415" t="inlineStr">
        <is>
          <t>モード</t>
        </is>
      </c>
      <c r="G407" s="416" t="n"/>
      <c r="H407" s="416" t="n"/>
      <c r="I407" s="508" t="n"/>
      <c r="J407" s="508" t="n"/>
      <c r="K407" s="508" t="n"/>
      <c r="L407" s="9" t="n"/>
      <c r="M407" s="9" t="n"/>
      <c r="N407" s="9" t="n"/>
      <c r="O407" s="9" t="n"/>
      <c r="P407" s="9" t="n"/>
      <c r="Q407" s="9" t="n"/>
      <c r="R407" s="9" t="n"/>
    </row>
    <row r="408" ht="17.25" customHeight="1">
      <c r="A408" s="679" t="n"/>
      <c r="B408" s="679" t="n"/>
      <c r="C408" s="763" t="inlineStr">
        <is>
          <t>力率</t>
        </is>
      </c>
      <c r="D408" s="574" t="n"/>
      <c r="E408" s="580" t="n"/>
      <c r="F408" s="418" t="inlineStr">
        <is>
          <t>ψ</t>
        </is>
      </c>
      <c r="G408" s="419" t="n"/>
      <c r="H408" s="419" t="n"/>
      <c r="I408" s="509" t="n"/>
      <c r="J408" s="509" t="n"/>
      <c r="K408" s="509" t="n"/>
      <c r="L408" s="9" t="n"/>
      <c r="M408" s="9" t="n"/>
      <c r="N408" s="9" t="n"/>
      <c r="O408" s="9" t="n"/>
      <c r="P408" s="9" t="n"/>
      <c r="Q408" s="9" t="n"/>
      <c r="R408" s="9" t="n"/>
    </row>
    <row r="409" ht="17.25" customHeight="1">
      <c r="A409" s="679" t="n"/>
      <c r="B409" s="679" t="n"/>
      <c r="C409" s="763" t="inlineStr">
        <is>
          <t>電流</t>
        </is>
      </c>
      <c r="D409" s="586" t="n"/>
      <c r="E409" s="587" t="n"/>
      <c r="F409" s="414" t="inlineStr">
        <is>
          <t>A</t>
        </is>
      </c>
      <c r="G409" s="933" t="n"/>
      <c r="H409" s="933" t="n"/>
      <c r="I409" s="939" t="n"/>
      <c r="J409" s="939" t="n"/>
      <c r="K409" s="939" t="n"/>
      <c r="L409" s="9" t="n"/>
      <c r="M409" s="9" t="n"/>
      <c r="N409" s="9" t="n"/>
      <c r="O409" s="9" t="n"/>
      <c r="P409" s="9" t="n"/>
      <c r="Q409" s="9" t="n"/>
      <c r="R409" s="9" t="n"/>
    </row>
    <row r="410" ht="17.25" customHeight="1">
      <c r="A410" s="679" t="n"/>
      <c r="B410" s="679" t="n"/>
      <c r="C410" s="590" t="n"/>
      <c r="D410" s="598" t="n"/>
      <c r="E410" s="591" t="n"/>
      <c r="F410" s="415" t="inlineStr">
        <is>
          <t>モード</t>
        </is>
      </c>
      <c r="G410" s="416" t="n"/>
      <c r="H410" s="416" t="n"/>
      <c r="I410" s="508" t="n"/>
      <c r="J410" s="508" t="n"/>
      <c r="K410" s="508" t="n"/>
      <c r="L410" s="9" t="n"/>
      <c r="M410" s="9" t="n"/>
      <c r="N410" s="9" t="n"/>
      <c r="O410" s="9" t="n"/>
      <c r="P410" s="9" t="n"/>
      <c r="Q410" s="9" t="n"/>
      <c r="R410" s="9" t="n"/>
    </row>
    <row r="411" ht="17.25" customHeight="1">
      <c r="A411" s="679" t="n"/>
      <c r="B411" s="679" t="n"/>
      <c r="C411" s="763" t="inlineStr">
        <is>
          <t>普通電力量（×１０ｋw）</t>
        </is>
      </c>
      <c r="D411" s="586" t="n"/>
      <c r="E411" s="587" t="n"/>
      <c r="F411" s="414" t="inlineStr">
        <is>
          <t>読み</t>
        </is>
      </c>
      <c r="G411" s="943" t="n"/>
      <c r="H411" s="943" t="n"/>
      <c r="I411" s="962" t="n"/>
      <c r="J411" s="962" t="n"/>
      <c r="K411" s="962" t="n"/>
      <c r="L411" s="9" t="n"/>
      <c r="M411" s="9" t="n"/>
      <c r="N411" s="9" t="n"/>
      <c r="O411" s="9" t="n"/>
      <c r="P411" s="9" t="n"/>
      <c r="Q411" s="9" t="n"/>
      <c r="R411" s="9" t="n"/>
    </row>
    <row r="412" ht="17.25" customHeight="1">
      <c r="A412" s="679" t="n"/>
      <c r="B412" s="679" t="n"/>
      <c r="C412" s="590" t="n"/>
      <c r="D412" s="598" t="n"/>
      <c r="E412" s="591" t="n"/>
      <c r="F412" s="415" t="inlineStr">
        <is>
          <t>使用量</t>
        </is>
      </c>
      <c r="G412" s="946" t="n"/>
      <c r="H412" s="946" t="n"/>
      <c r="I412" s="963" t="n"/>
      <c r="J412" s="963" t="n"/>
      <c r="K412" s="963" t="n"/>
      <c r="L412" s="9" t="n"/>
      <c r="M412" s="9" t="n"/>
      <c r="N412" s="9" t="n"/>
      <c r="O412" s="9" t="n"/>
      <c r="P412" s="9" t="n"/>
      <c r="Q412" s="9" t="n"/>
      <c r="R412" s="9" t="n"/>
    </row>
    <row r="413" ht="17.25" customHeight="1">
      <c r="A413" s="679" t="n"/>
      <c r="B413" s="679" t="n"/>
      <c r="C413" s="763" t="inlineStr">
        <is>
          <t>引込・受電設定</t>
        </is>
      </c>
      <c r="D413" s="586" t="n"/>
      <c r="E413" s="587" t="n"/>
      <c r="F413" s="414" t="inlineStr">
        <is>
          <t>手動/自動</t>
        </is>
      </c>
      <c r="G413" s="333" t="n"/>
      <c r="H413" s="333" t="n"/>
      <c r="I413" s="400" t="n"/>
      <c r="J413" s="400" t="n"/>
      <c r="K413" s="400" t="n"/>
      <c r="L413" s="9" t="n"/>
      <c r="M413" s="9" t="n"/>
      <c r="N413" s="9" t="n"/>
      <c r="O413" s="9" t="n"/>
      <c r="P413" s="9" t="n"/>
      <c r="Q413" s="9" t="n"/>
      <c r="R413" s="9" t="n"/>
    </row>
    <row r="414" ht="17.25" customHeight="1">
      <c r="A414" s="679" t="n"/>
      <c r="B414" s="626" t="n"/>
      <c r="C414" s="590" t="n"/>
      <c r="D414" s="598" t="n"/>
      <c r="E414" s="591" t="n"/>
      <c r="F414" s="415" t="inlineStr">
        <is>
          <t>切/入</t>
        </is>
      </c>
      <c r="G414" s="416" t="n"/>
      <c r="H414" s="416" t="n"/>
      <c r="I414" s="508" t="n"/>
      <c r="J414" s="508" t="n"/>
      <c r="K414" s="508" t="n"/>
      <c r="L414" s="9" t="n"/>
      <c r="M414" s="9" t="n"/>
      <c r="N414" s="9" t="n"/>
      <c r="O414" s="9" t="n"/>
      <c r="P414" s="9" t="n"/>
      <c r="Q414" s="9" t="n"/>
      <c r="R414" s="9" t="n"/>
    </row>
    <row r="415" ht="17.25" customHeight="1">
      <c r="A415" s="679" t="n"/>
      <c r="B415" s="783" t="inlineStr">
        <is>
          <t>変圧器</t>
        </is>
      </c>
      <c r="C415" s="760" t="inlineStr">
        <is>
          <t>主変圧器温度</t>
        </is>
      </c>
      <c r="D415" s="586" t="n"/>
      <c r="E415" s="587" t="n"/>
      <c r="F415" s="414" t="inlineStr">
        <is>
          <t>℃</t>
        </is>
      </c>
      <c r="G415" s="333" t="n"/>
      <c r="H415" s="333" t="n"/>
      <c r="I415" s="400" t="n"/>
      <c r="J415" s="400" t="n"/>
      <c r="K415" s="400" t="n"/>
      <c r="L415" s="9" t="n"/>
      <c r="M415" s="9" t="n"/>
      <c r="N415" s="9" t="n"/>
      <c r="O415" s="9" t="n"/>
      <c r="P415" s="9" t="n"/>
      <c r="Q415" s="9" t="n"/>
      <c r="R415" s="9" t="n"/>
    </row>
    <row r="416" ht="17.25" customHeight="1">
      <c r="A416" s="679" t="n"/>
      <c r="B416" s="626" t="n"/>
      <c r="C416" s="774" t="inlineStr">
        <is>
          <t>異音、脱臭の有無</t>
        </is>
      </c>
      <c r="D416" s="598" t="n"/>
      <c r="E416" s="591" t="n"/>
      <c r="F416" s="415" t="inlineStr">
        <is>
          <t>有・無</t>
        </is>
      </c>
      <c r="G416" s="416" t="n"/>
      <c r="H416" s="416" t="n"/>
      <c r="I416" s="508" t="n"/>
      <c r="J416" s="508" t="n"/>
      <c r="K416" s="508" t="n"/>
      <c r="L416" s="9" t="n"/>
      <c r="M416" s="9" t="n"/>
      <c r="N416" s="9" t="n"/>
      <c r="O416" s="9" t="n"/>
      <c r="P416" s="9" t="n"/>
      <c r="Q416" s="9" t="n"/>
      <c r="R416" s="9" t="n"/>
    </row>
    <row r="417" ht="17.25" customHeight="1">
      <c r="A417" s="679" t="n"/>
      <c r="B417" s="759" t="inlineStr">
        <is>
          <t>低　　圧　　分　　岐</t>
        </is>
      </c>
      <c r="C417" s="763" t="inlineStr">
        <is>
          <t>動力（２１０V）　電圧</t>
        </is>
      </c>
      <c r="D417" s="586" t="n"/>
      <c r="E417" s="587" t="n"/>
      <c r="F417" s="414" t="inlineStr">
        <is>
          <t>V</t>
        </is>
      </c>
      <c r="G417" s="333" t="n"/>
      <c r="H417" s="333" t="n"/>
      <c r="I417" s="400" t="n"/>
      <c r="J417" s="400" t="n"/>
      <c r="K417" s="400" t="n"/>
      <c r="L417" s="9" t="n"/>
      <c r="M417" s="9" t="n"/>
      <c r="N417" s="9" t="n"/>
      <c r="O417" s="9" t="n"/>
      <c r="P417" s="9" t="n"/>
      <c r="Q417" s="9" t="n"/>
      <c r="R417" s="9" t="n"/>
    </row>
    <row r="418" ht="17.25" customHeight="1">
      <c r="A418" s="679" t="n"/>
      <c r="B418" s="679" t="n"/>
      <c r="C418" s="590" t="n"/>
      <c r="D418" s="598" t="n"/>
      <c r="E418" s="591" t="n"/>
      <c r="F418" s="415" t="inlineStr">
        <is>
          <t>モード</t>
        </is>
      </c>
      <c r="G418" s="416" t="n"/>
      <c r="H418" s="416" t="n"/>
      <c r="I418" s="508" t="n"/>
      <c r="J418" s="508" t="n"/>
      <c r="K418" s="508" t="n"/>
      <c r="L418" s="9" t="n"/>
      <c r="M418" s="9" t="n"/>
      <c r="N418" s="9" t="n"/>
      <c r="O418" s="9" t="n"/>
      <c r="P418" s="9" t="n"/>
      <c r="Q418" s="9" t="n"/>
      <c r="R418" s="9" t="n"/>
    </row>
    <row r="419" ht="17.25" customHeight="1">
      <c r="A419" s="679" t="n"/>
      <c r="B419" s="679" t="n"/>
      <c r="C419" s="763" t="inlineStr">
        <is>
          <t>動力（２１０V）　電流</t>
        </is>
      </c>
      <c r="D419" s="586" t="n"/>
      <c r="E419" s="587" t="n"/>
      <c r="F419" s="428" t="inlineStr">
        <is>
          <t>A</t>
        </is>
      </c>
      <c r="G419" s="429" t="n"/>
      <c r="H419" s="429" t="n"/>
      <c r="I419" s="512" t="n"/>
      <c r="J419" s="512" t="n"/>
      <c r="K419" s="512" t="n"/>
      <c r="L419" s="9" t="n"/>
      <c r="M419" s="9" t="n"/>
      <c r="N419" s="9" t="n"/>
      <c r="O419" s="9" t="n"/>
      <c r="P419" s="9" t="n"/>
      <c r="Q419" s="9" t="n"/>
      <c r="R419" s="9" t="n"/>
    </row>
    <row r="420" ht="17.25" customHeight="1">
      <c r="A420" s="679" t="n"/>
      <c r="B420" s="679" t="n"/>
      <c r="C420" s="590" t="n"/>
      <c r="D420" s="598" t="n"/>
      <c r="E420" s="591" t="n"/>
      <c r="F420" s="431" t="inlineStr">
        <is>
          <t>モード</t>
        </is>
      </c>
      <c r="G420" s="416" t="n"/>
      <c r="H420" s="416" t="n"/>
      <c r="I420" s="508" t="n"/>
      <c r="J420" s="508" t="n"/>
      <c r="K420" s="508" t="n"/>
      <c r="L420" s="9" t="n"/>
      <c r="M420" s="9" t="n"/>
      <c r="N420" s="9" t="n"/>
      <c r="O420" s="9" t="n"/>
      <c r="P420" s="9" t="n"/>
      <c r="Q420" s="9" t="n"/>
      <c r="R420" s="9" t="n"/>
    </row>
    <row r="421" ht="17.25" customHeight="1">
      <c r="A421" s="679" t="n"/>
      <c r="B421" s="679" t="n"/>
      <c r="C421" s="763" t="inlineStr">
        <is>
          <t>照明(210-105V)　　電流</t>
        </is>
      </c>
      <c r="D421" s="586" t="n"/>
      <c r="E421" s="587" t="n"/>
      <c r="F421" s="428" t="inlineStr">
        <is>
          <t>A</t>
        </is>
      </c>
      <c r="G421" s="429" t="n"/>
      <c r="H421" s="429" t="n"/>
      <c r="I421" s="512" t="n"/>
      <c r="J421" s="512" t="n"/>
      <c r="K421" s="512" t="n"/>
      <c r="L421" s="9" t="n"/>
      <c r="M421" s="9" t="n"/>
      <c r="N421" s="9" t="n"/>
      <c r="O421" s="9" t="n"/>
      <c r="P421" s="9" t="n"/>
      <c r="Q421" s="9" t="n"/>
      <c r="R421" s="9" t="n"/>
    </row>
    <row r="422" ht="17.25" customHeight="1">
      <c r="A422" s="679" t="n"/>
      <c r="B422" s="679" t="n"/>
      <c r="C422" s="590" t="n"/>
      <c r="D422" s="598" t="n"/>
      <c r="E422" s="591" t="n"/>
      <c r="F422" s="431" t="inlineStr">
        <is>
          <t>モード</t>
        </is>
      </c>
      <c r="G422" s="416" t="n"/>
      <c r="H422" s="416" t="n"/>
      <c r="I422" s="508" t="n"/>
      <c r="J422" s="508" t="n"/>
      <c r="K422" s="508" t="n"/>
      <c r="L422" s="9" t="n"/>
      <c r="M422" s="9" t="n"/>
      <c r="N422" s="9" t="n"/>
      <c r="O422" s="9" t="n"/>
      <c r="P422" s="9" t="n"/>
      <c r="Q422" s="9" t="n"/>
      <c r="R422" s="9" t="n"/>
    </row>
    <row r="423" ht="17.25" customHeight="1">
      <c r="A423" s="679" t="n"/>
      <c r="B423" s="679" t="n"/>
      <c r="C423" s="763" t="inlineStr">
        <is>
          <t>低圧分岐設備</t>
        </is>
      </c>
      <c r="D423" s="574" t="n"/>
      <c r="E423" s="580" t="n"/>
      <c r="F423" s="418" t="inlineStr">
        <is>
          <t>買電/自家発</t>
        </is>
      </c>
      <c r="G423" s="309" t="n"/>
      <c r="H423" s="309" t="n"/>
      <c r="I423" s="392" t="n"/>
      <c r="J423" s="392" t="n"/>
      <c r="K423" s="392" t="n"/>
      <c r="L423" s="9" t="n"/>
      <c r="M423" s="9" t="n"/>
      <c r="N423" s="9" t="n"/>
      <c r="O423" s="9" t="n"/>
      <c r="P423" s="9" t="n"/>
      <c r="Q423" s="9" t="n"/>
      <c r="R423" s="9" t="n"/>
    </row>
    <row r="424" ht="17.25" customHeight="1">
      <c r="A424" s="679" t="n"/>
      <c r="B424" s="679" t="n"/>
      <c r="C424" s="760" t="inlineStr">
        <is>
          <t>沈砂池ポンプ設備</t>
        </is>
      </c>
      <c r="D424" s="586" t="n"/>
      <c r="E424" s="587" t="n"/>
      <c r="F424" s="428" t="inlineStr">
        <is>
          <t>読み</t>
        </is>
      </c>
      <c r="G424" s="429" t="n"/>
      <c r="H424" s="429" t="n"/>
      <c r="I424" s="512" t="n"/>
      <c r="J424" s="512" t="n"/>
      <c r="K424" s="512" t="n"/>
      <c r="L424" s="9" t="n"/>
      <c r="M424" s="9" t="n"/>
      <c r="N424" s="9" t="n"/>
      <c r="O424" s="9" t="n"/>
      <c r="P424" s="9" t="n"/>
      <c r="Q424" s="9" t="n"/>
      <c r="R424" s="9" t="n"/>
    </row>
    <row r="425" ht="17.25" customHeight="1">
      <c r="A425" s="679" t="n"/>
      <c r="B425" s="679" t="n"/>
      <c r="C425" s="774" t="inlineStr">
        <is>
          <t>（×１ｋｗｈ）</t>
        </is>
      </c>
      <c r="D425" s="598" t="n"/>
      <c r="E425" s="591" t="n"/>
      <c r="F425" s="415" t="inlineStr">
        <is>
          <t>使用量</t>
        </is>
      </c>
      <c r="G425" s="499" t="n"/>
      <c r="H425" s="499" t="n"/>
      <c r="I425" s="534" t="n"/>
      <c r="J425" s="534" t="n"/>
      <c r="K425" s="534" t="n"/>
      <c r="L425" s="9" t="n"/>
      <c r="M425" s="9" t="n"/>
      <c r="N425" s="9" t="n"/>
      <c r="O425" s="9" t="n"/>
      <c r="P425" s="9" t="n"/>
      <c r="Q425" s="9" t="n"/>
      <c r="R425" s="9" t="n"/>
    </row>
    <row r="426" ht="17.25" customHeight="1">
      <c r="A426" s="679" t="n"/>
      <c r="B426" s="679" t="n"/>
      <c r="C426" s="760" t="inlineStr">
        <is>
          <t>水処理設備（１）</t>
        </is>
      </c>
      <c r="D426" s="586" t="n"/>
      <c r="E426" s="587" t="n"/>
      <c r="F426" s="428" t="inlineStr">
        <is>
          <t>読み</t>
        </is>
      </c>
      <c r="G426" s="429" t="n"/>
      <c r="H426" s="429" t="n"/>
      <c r="I426" s="512" t="n"/>
      <c r="J426" s="512" t="n"/>
      <c r="K426" s="512" t="n"/>
      <c r="L426" s="9" t="n"/>
      <c r="M426" s="9" t="n"/>
      <c r="N426" s="9" t="n"/>
      <c r="O426" s="9" t="n"/>
      <c r="P426" s="9" t="n"/>
      <c r="Q426" s="9" t="n"/>
      <c r="R426" s="9" t="n"/>
    </row>
    <row r="427" ht="17.25" customHeight="1">
      <c r="A427" s="679" t="n"/>
      <c r="B427" s="679" t="n"/>
      <c r="C427" s="774" t="inlineStr">
        <is>
          <t>（×１ｋｗｈ）</t>
        </is>
      </c>
      <c r="D427" s="598" t="n"/>
      <c r="E427" s="591" t="n"/>
      <c r="F427" s="415" t="inlineStr">
        <is>
          <t>使用量</t>
        </is>
      </c>
      <c r="G427" s="499" t="n"/>
      <c r="H427" s="499" t="n"/>
      <c r="I427" s="534" t="n"/>
      <c r="J427" s="534" t="n"/>
      <c r="K427" s="534" t="n"/>
      <c r="L427" s="9" t="n"/>
      <c r="M427" s="9" t="n"/>
      <c r="N427" s="9" t="n"/>
      <c r="O427" s="9" t="n"/>
      <c r="P427" s="9" t="n"/>
      <c r="Q427" s="9" t="n"/>
      <c r="R427" s="9" t="n"/>
    </row>
    <row r="428" ht="17.25" customHeight="1">
      <c r="A428" s="679" t="n"/>
      <c r="B428" s="679" t="n"/>
      <c r="C428" s="760" t="inlineStr">
        <is>
          <t>水処理設備（２）</t>
        </is>
      </c>
      <c r="D428" s="586" t="n"/>
      <c r="E428" s="587" t="n"/>
      <c r="F428" s="428" t="inlineStr">
        <is>
          <t>読み</t>
        </is>
      </c>
      <c r="G428" s="429" t="n"/>
      <c r="H428" s="429" t="n"/>
      <c r="I428" s="512" t="n"/>
      <c r="J428" s="512" t="n"/>
      <c r="K428" s="512" t="n"/>
      <c r="L428" s="9" t="n"/>
      <c r="M428" s="9" t="n"/>
      <c r="N428" s="9" t="n"/>
      <c r="O428" s="9" t="n"/>
      <c r="P428" s="9" t="n"/>
      <c r="Q428" s="9" t="n"/>
      <c r="R428" s="9" t="n"/>
    </row>
    <row r="429" ht="17.25" customHeight="1">
      <c r="A429" s="679" t="n"/>
      <c r="B429" s="679" t="n"/>
      <c r="C429" s="774" t="inlineStr">
        <is>
          <t>（×１ｋｗｈ）</t>
        </is>
      </c>
      <c r="D429" s="598" t="n"/>
      <c r="E429" s="591" t="n"/>
      <c r="F429" s="415" t="inlineStr">
        <is>
          <t>使用量</t>
        </is>
      </c>
      <c r="G429" s="499" t="n"/>
      <c r="H429" s="499" t="n"/>
      <c r="I429" s="534" t="n"/>
      <c r="J429" s="534" t="n"/>
      <c r="K429" s="534" t="n"/>
      <c r="L429" s="9" t="n"/>
      <c r="M429" s="9" t="n"/>
      <c r="N429" s="9" t="n"/>
      <c r="O429" s="9" t="n"/>
      <c r="P429" s="9" t="n"/>
      <c r="Q429" s="9" t="n"/>
      <c r="R429" s="9" t="n"/>
    </row>
    <row r="430" ht="17.25" customHeight="1">
      <c r="A430" s="679" t="n"/>
      <c r="B430" s="679" t="n"/>
      <c r="C430" s="760" t="inlineStr">
        <is>
          <t>汚泥処理設備電力量</t>
        </is>
      </c>
      <c r="D430" s="586" t="n"/>
      <c r="E430" s="587" t="n"/>
      <c r="F430" s="428" t="inlineStr">
        <is>
          <t>読み</t>
        </is>
      </c>
      <c r="G430" s="429" t="n"/>
      <c r="H430" s="429" t="n"/>
      <c r="I430" s="512" t="n"/>
      <c r="J430" s="512" t="n"/>
      <c r="K430" s="512" t="n"/>
      <c r="L430" s="9" t="n"/>
      <c r="M430" s="9" t="n"/>
      <c r="N430" s="9" t="n"/>
      <c r="O430" s="9" t="n"/>
      <c r="P430" s="9" t="n"/>
      <c r="Q430" s="9" t="n"/>
      <c r="R430" s="9" t="n"/>
    </row>
    <row r="431" ht="17.25" customHeight="1">
      <c r="A431" s="679" t="n"/>
      <c r="B431" s="679" t="n"/>
      <c r="C431" s="774" t="inlineStr">
        <is>
          <t>（×１ｋｗｈ）</t>
        </is>
      </c>
      <c r="D431" s="598" t="n"/>
      <c r="E431" s="591" t="n"/>
      <c r="F431" s="415" t="inlineStr">
        <is>
          <t>使用量</t>
        </is>
      </c>
      <c r="G431" s="499" t="n"/>
      <c r="H431" s="499" t="n"/>
      <c r="I431" s="534" t="n"/>
      <c r="J431" s="534" t="n"/>
      <c r="K431" s="534" t="n"/>
      <c r="L431" s="9" t="n"/>
      <c r="M431" s="9" t="n"/>
      <c r="N431" s="9" t="n"/>
      <c r="O431" s="9" t="n"/>
      <c r="P431" s="9" t="n"/>
      <c r="Q431" s="9" t="n"/>
      <c r="R431" s="9" t="n"/>
    </row>
    <row r="432" ht="17.25" customHeight="1">
      <c r="A432" s="679" t="n"/>
      <c r="B432" s="679" t="n"/>
      <c r="C432" s="763" t="inlineStr">
        <is>
          <t>No.１　コンデンサー(電磁接触器)</t>
        </is>
      </c>
      <c r="D432" s="574" t="n"/>
      <c r="E432" s="580" t="n"/>
      <c r="F432" s="765" t="inlineStr">
        <is>
          <t>切/入</t>
        </is>
      </c>
      <c r="G432" s="309" t="n"/>
      <c r="H432" s="309" t="n"/>
      <c r="I432" s="392" t="n"/>
      <c r="J432" s="392" t="n"/>
      <c r="K432" s="392" t="n"/>
      <c r="L432" s="9" t="n"/>
      <c r="M432" s="9" t="n"/>
      <c r="N432" s="9" t="n"/>
      <c r="O432" s="9" t="n"/>
      <c r="P432" s="9" t="n"/>
      <c r="Q432" s="9" t="n"/>
      <c r="R432" s="9" t="n"/>
    </row>
    <row r="433" ht="17.25" customHeight="1">
      <c r="A433" s="679" t="n"/>
      <c r="B433" s="679" t="n"/>
      <c r="C433" s="763" t="inlineStr">
        <is>
          <t>No.２　コンデンサー(電磁接触器)</t>
        </is>
      </c>
      <c r="D433" s="574" t="n"/>
      <c r="E433" s="580" t="n"/>
      <c r="F433" s="765" t="inlineStr">
        <is>
          <t>切/入</t>
        </is>
      </c>
      <c r="G433" s="309" t="n"/>
      <c r="H433" s="309" t="n"/>
      <c r="I433" s="392" t="n"/>
      <c r="J433" s="392" t="n"/>
      <c r="K433" s="392" t="n"/>
      <c r="L433" s="9" t="n"/>
      <c r="M433" s="9" t="n"/>
      <c r="N433" s="9" t="n"/>
      <c r="O433" s="9" t="n"/>
      <c r="P433" s="9" t="n"/>
      <c r="Q433" s="9" t="n"/>
      <c r="R433" s="9" t="n"/>
    </row>
    <row r="434" ht="17.25" customHeight="1">
      <c r="A434" s="626" t="n"/>
      <c r="B434" s="626" t="n"/>
      <c r="C434" s="763" t="inlineStr">
        <is>
          <t>No.３　コンデンサー(電磁接触器)</t>
        </is>
      </c>
      <c r="D434" s="574" t="n"/>
      <c r="E434" s="580" t="n"/>
      <c r="F434" s="765" t="inlineStr">
        <is>
          <t>切/入</t>
        </is>
      </c>
      <c r="G434" s="309" t="n"/>
      <c r="H434" s="309" t="n"/>
      <c r="I434" s="392" t="n"/>
      <c r="J434" s="392" t="n"/>
      <c r="K434" s="392" t="n"/>
      <c r="L434" s="9" t="n"/>
      <c r="M434" s="9" t="n"/>
      <c r="N434" s="9" t="n"/>
      <c r="O434" s="9" t="n"/>
      <c r="P434" s="9" t="n"/>
      <c r="Q434" s="9" t="n"/>
      <c r="R434" s="9" t="n"/>
    </row>
    <row r="435" ht="13.5" customHeight="1">
      <c r="A435" s="781" t="inlineStr">
        <is>
          <t>備　考</t>
        </is>
      </c>
      <c r="B435" s="360" t="n"/>
      <c r="C435" s="747" t="n"/>
      <c r="D435" s="747" t="n"/>
      <c r="E435" s="747" t="n"/>
      <c r="F435" s="747" t="n"/>
      <c r="G435" s="747" t="n"/>
      <c r="H435" s="747" t="n"/>
      <c r="I435" s="747" t="n"/>
      <c r="J435" s="747" t="n"/>
      <c r="K435" s="435" t="n"/>
      <c r="L435" s="9" t="n"/>
      <c r="M435" s="9" t="n"/>
      <c r="N435" s="9" t="n"/>
      <c r="O435" s="9" t="n"/>
      <c r="P435" s="9" t="n"/>
      <c r="Q435" s="9" t="n"/>
      <c r="R435" s="9" t="n"/>
    </row>
    <row r="436" ht="13.5" customHeight="1">
      <c r="A436" s="679" t="n"/>
      <c r="B436" s="361" t="n"/>
      <c r="C436" s="128" t="n"/>
      <c r="D436" s="128" t="n"/>
      <c r="E436" s="128" t="n"/>
      <c r="F436" s="357" t="n"/>
      <c r="G436" s="371" t="n"/>
      <c r="H436" s="371" t="n"/>
      <c r="I436" s="371" t="n"/>
      <c r="J436" s="371" t="n"/>
      <c r="K436" s="436" t="n"/>
      <c r="L436" s="9" t="n"/>
      <c r="M436" s="9" t="n"/>
      <c r="N436" s="9" t="n"/>
      <c r="O436" s="9" t="n"/>
      <c r="P436" s="9" t="n"/>
      <c r="Q436" s="9" t="n"/>
      <c r="R436" s="9" t="n"/>
    </row>
    <row r="437" ht="28.5" customHeight="1">
      <c r="A437" s="626" t="n"/>
      <c r="B437" s="437" t="n"/>
      <c r="C437" s="438" t="n"/>
      <c r="D437" s="438" t="n"/>
      <c r="E437" s="438" t="n"/>
      <c r="F437" s="438" t="n"/>
      <c r="G437" s="439" t="n"/>
      <c r="H437" s="439" t="n"/>
      <c r="I437" s="439" t="n"/>
      <c r="J437" s="439" t="n"/>
      <c r="K437" s="440" t="n"/>
      <c r="L437" s="9" t="n"/>
      <c r="M437" s="9" t="n"/>
      <c r="N437" s="9" t="n"/>
      <c r="O437" s="9" t="n"/>
      <c r="P437" s="9" t="n"/>
      <c r="Q437" s="9" t="n"/>
      <c r="R437" s="9" t="n"/>
    </row>
    <row r="438" ht="21" customHeight="1">
      <c r="A438" s="299" t="inlineStr">
        <is>
          <t xml:space="preserve">　電気設備日常点検（２/３）</t>
        </is>
      </c>
      <c r="B438" s="128" t="n"/>
      <c r="C438" s="128" t="n"/>
      <c r="D438" s="128" t="n"/>
      <c r="E438" s="128" t="n"/>
      <c r="F438" s="128" t="n"/>
      <c r="G438" s="128" t="n"/>
      <c r="H438" s="128" t="n"/>
      <c r="I438" s="128" t="n"/>
      <c r="J438" s="128" t="n"/>
      <c r="K438" s="355">
        <f>K1</f>
        <v/>
      </c>
      <c r="L438" s="9" t="n"/>
      <c r="M438" s="9" t="n"/>
      <c r="N438" s="9" t="n"/>
      <c r="O438" s="9" t="n"/>
      <c r="P438" s="9" t="n"/>
      <c r="Q438" s="9" t="n"/>
      <c r="R438" s="9" t="n"/>
    </row>
    <row r="439" ht="13.5" customHeight="1">
      <c r="A439" s="768" t="n"/>
      <c r="B439" s="765" t="inlineStr">
        <is>
          <t>機器名</t>
        </is>
      </c>
      <c r="C439" s="587" t="n"/>
      <c r="D439" s="765" t="inlineStr">
        <is>
          <t>点　　検　　者　　氏　　名</t>
        </is>
      </c>
      <c r="E439" s="574" t="n"/>
      <c r="F439" s="580" t="n"/>
      <c r="G439" s="309" t="n"/>
      <c r="H439" s="309" t="n"/>
      <c r="I439" s="392" t="n"/>
      <c r="J439" s="392" t="n"/>
      <c r="K439" s="392" t="n"/>
      <c r="L439" s="9" t="n"/>
      <c r="M439" s="9" t="n"/>
      <c r="N439" s="9" t="n"/>
      <c r="O439" s="9" t="n"/>
      <c r="P439" s="9" t="n"/>
      <c r="Q439" s="9" t="n"/>
      <c r="R439" s="9" t="n"/>
    </row>
    <row r="440" ht="13.5" customHeight="1">
      <c r="A440" s="626" t="n"/>
      <c r="B440" s="590" t="n"/>
      <c r="C440" s="591" t="n"/>
      <c r="D440" s="765" t="inlineStr">
        <is>
          <t>点　　　検　　　内　　　容</t>
        </is>
      </c>
      <c r="E440" s="574" t="n"/>
      <c r="F440" s="580" t="n"/>
      <c r="G440" s="948" t="n"/>
      <c r="H440" s="948" t="n"/>
      <c r="I440" s="970" t="n"/>
      <c r="J440" s="970" t="n"/>
      <c r="K440" s="970" t="n"/>
      <c r="L440" s="9" t="n"/>
      <c r="M440" s="9" t="n"/>
      <c r="N440" s="9" t="n"/>
      <c r="O440" s="9" t="n"/>
      <c r="P440" s="9" t="n"/>
      <c r="Q440" s="9" t="n"/>
      <c r="R440" s="9" t="n"/>
    </row>
    <row r="441" ht="16.5" customHeight="1">
      <c r="A441" s="764" t="inlineStr">
        <is>
          <t>計　　　　　装　　　　　設　　　　　備</t>
        </is>
      </c>
      <c r="B441" s="767" t="inlineStr">
        <is>
          <t>Nｏ．１オキシデーションディッチＤＯ計</t>
        </is>
      </c>
      <c r="C441" s="587" t="n"/>
      <c r="D441" s="773" t="inlineStr">
        <is>
          <t>外観の確認</t>
        </is>
      </c>
      <c r="E441" s="950" t="n"/>
      <c r="F441" s="445" t="n"/>
      <c r="G441" s="333" t="n"/>
      <c r="H441" s="333" t="n"/>
      <c r="I441" s="400" t="n"/>
      <c r="J441" s="400" t="n"/>
      <c r="K441" s="400" t="n"/>
      <c r="L441" s="9" t="n"/>
      <c r="M441" s="9" t="n"/>
      <c r="N441" s="9" t="n"/>
      <c r="O441" s="9" t="n"/>
      <c r="P441" s="9" t="n"/>
      <c r="Q441" s="9" t="n"/>
      <c r="R441" s="9" t="n"/>
    </row>
    <row r="442" ht="16.5" customHeight="1">
      <c r="A442" s="679" t="n"/>
      <c r="B442" s="613" t="n"/>
      <c r="C442" s="602" t="n"/>
      <c r="D442" s="777" t="inlineStr">
        <is>
          <t>指示状況の確認</t>
        </is>
      </c>
      <c r="E442" s="951" t="n"/>
      <c r="F442" s="446" t="n"/>
      <c r="G442" s="447" t="n"/>
      <c r="H442" s="447" t="n"/>
      <c r="I442" s="514" t="n"/>
      <c r="J442" s="514" t="n"/>
      <c r="K442" s="514" t="n"/>
      <c r="L442" s="9" t="n"/>
      <c r="M442" s="9" t="n"/>
      <c r="N442" s="9" t="n"/>
      <c r="O442" s="9" t="n"/>
      <c r="P442" s="9" t="n"/>
      <c r="Q442" s="9" t="n"/>
      <c r="R442" s="9" t="n"/>
    </row>
    <row r="443" ht="16.5" customHeight="1">
      <c r="A443" s="679" t="n"/>
      <c r="B443" s="590" t="n"/>
      <c r="C443" s="591" t="n"/>
      <c r="D443" s="762" t="inlineStr">
        <is>
          <t>ＤＯ値</t>
        </is>
      </c>
      <c r="E443" s="952" t="n"/>
      <c r="F443" s="449" t="inlineStr">
        <is>
          <t>㎎/ℓ</t>
        </is>
      </c>
      <c r="G443" s="450" t="n"/>
      <c r="H443" s="450" t="n"/>
      <c r="I443" s="515" t="n"/>
      <c r="J443" s="515" t="n"/>
      <c r="K443" s="515" t="n"/>
      <c r="L443" s="9" t="n"/>
      <c r="M443" s="9" t="n"/>
      <c r="N443" s="9" t="n"/>
      <c r="O443" s="9" t="n"/>
      <c r="P443" s="9" t="n"/>
      <c r="Q443" s="9" t="n"/>
      <c r="R443" s="9" t="n"/>
    </row>
    <row r="444" ht="16.5" customHeight="1">
      <c r="A444" s="679" t="n"/>
      <c r="B444" s="767" t="inlineStr">
        <is>
          <t>Nｏ．２オキシデーションディッチＤＯ計</t>
        </is>
      </c>
      <c r="C444" s="587" t="n"/>
      <c r="D444" s="773" t="inlineStr">
        <is>
          <t>外観の確認</t>
        </is>
      </c>
      <c r="E444" s="950" t="n"/>
      <c r="F444" s="445" t="n"/>
      <c r="G444" s="333" t="n"/>
      <c r="H444" s="333" t="n"/>
      <c r="I444" s="400" t="n"/>
      <c r="J444" s="400" t="n"/>
      <c r="K444" s="400" t="n"/>
      <c r="L444" s="9" t="n"/>
      <c r="M444" s="9" t="n"/>
      <c r="N444" s="9" t="n"/>
      <c r="O444" s="9" t="n"/>
      <c r="P444" s="9" t="n"/>
      <c r="Q444" s="9" t="n"/>
      <c r="R444" s="9" t="n"/>
    </row>
    <row r="445" ht="16.5" customHeight="1">
      <c r="A445" s="679" t="n"/>
      <c r="B445" s="613" t="n"/>
      <c r="C445" s="602" t="n"/>
      <c r="D445" s="777" t="inlineStr">
        <is>
          <t>指示状況の確認</t>
        </is>
      </c>
      <c r="E445" s="951" t="n"/>
      <c r="F445" s="446" t="n"/>
      <c r="G445" s="447" t="n"/>
      <c r="H445" s="447" t="n"/>
      <c r="I445" s="514" t="n"/>
      <c r="J445" s="514" t="n"/>
      <c r="K445" s="514" t="n"/>
      <c r="L445" s="9" t="n"/>
      <c r="M445" s="9" t="n"/>
      <c r="N445" s="9" t="n"/>
      <c r="O445" s="9" t="n"/>
      <c r="P445" s="9" t="n"/>
      <c r="Q445" s="9" t="n"/>
      <c r="R445" s="9" t="n"/>
    </row>
    <row r="446" ht="16.5" customHeight="1">
      <c r="A446" s="679" t="n"/>
      <c r="B446" s="590" t="n"/>
      <c r="C446" s="591" t="n"/>
      <c r="D446" s="762" t="inlineStr">
        <is>
          <t>ＤＯ値</t>
        </is>
      </c>
      <c r="E446" s="952" t="n"/>
      <c r="F446" s="449" t="inlineStr">
        <is>
          <t>㎎/ℓ</t>
        </is>
      </c>
      <c r="G446" s="452" t="n"/>
      <c r="H446" s="452" t="n"/>
      <c r="I446" s="516" t="n"/>
      <c r="J446" s="516" t="n"/>
      <c r="K446" s="516" t="n"/>
      <c r="L446" s="9" t="n"/>
      <c r="M446" s="9" t="n"/>
      <c r="N446" s="9" t="n"/>
      <c r="O446" s="9" t="n"/>
      <c r="P446" s="9" t="n"/>
      <c r="Q446" s="9" t="n"/>
      <c r="R446" s="9" t="n"/>
    </row>
    <row r="447" ht="16.5" customHeight="1">
      <c r="A447" s="679" t="n"/>
      <c r="B447" s="767" t="inlineStr">
        <is>
          <t>Nｏ．１返送汚泥流量計</t>
        </is>
      </c>
      <c r="C447" s="587" t="n"/>
      <c r="D447" s="773" t="inlineStr">
        <is>
          <t>外観の確認</t>
        </is>
      </c>
      <c r="E447" s="950" t="n"/>
      <c r="F447" s="445" t="n"/>
      <c r="G447" s="333" t="n"/>
      <c r="H447" s="333" t="n"/>
      <c r="I447" s="400" t="n"/>
      <c r="J447" s="400" t="n"/>
      <c r="K447" s="400" t="n"/>
      <c r="L447" s="9" t="n"/>
      <c r="M447" s="9" t="n"/>
      <c r="N447" s="9" t="n"/>
      <c r="O447" s="9" t="n"/>
      <c r="P447" s="9" t="n"/>
      <c r="Q447" s="9" t="n"/>
      <c r="R447" s="9" t="n"/>
    </row>
    <row r="448" ht="16.5" customHeight="1">
      <c r="A448" s="679" t="n"/>
      <c r="B448" s="613" t="n"/>
      <c r="C448" s="602" t="n"/>
      <c r="D448" s="771" t="inlineStr">
        <is>
          <t>指示状況の確認</t>
        </is>
      </c>
      <c r="E448" s="641" t="n"/>
      <c r="F448" s="459" t="n"/>
      <c r="G448" s="447" t="n"/>
      <c r="H448" s="447" t="n"/>
      <c r="I448" s="514" t="n"/>
      <c r="J448" s="514" t="n"/>
      <c r="K448" s="514" t="n"/>
      <c r="L448" s="9" t="n"/>
      <c r="M448" s="9" t="n"/>
      <c r="N448" s="9" t="n"/>
      <c r="O448" s="9" t="n"/>
      <c r="P448" s="9" t="n"/>
      <c r="Q448" s="9" t="n"/>
      <c r="R448" s="9" t="n"/>
    </row>
    <row r="449" ht="16.5" customHeight="1">
      <c r="A449" s="679" t="n"/>
      <c r="B449" s="613" t="n"/>
      <c r="C449" s="602" t="n"/>
      <c r="D449" s="771" t="inlineStr">
        <is>
          <t>流量計の読み</t>
        </is>
      </c>
      <c r="E449" s="641" t="n"/>
      <c r="F449" s="459" t="inlineStr">
        <is>
          <t>㎥/ｈ</t>
        </is>
      </c>
      <c r="G449" s="460" t="n"/>
      <c r="H449" s="460" t="n"/>
      <c r="I449" s="522" t="n"/>
      <c r="J449" s="522" t="n"/>
      <c r="K449" s="522" t="n"/>
      <c r="L449" s="9" t="n"/>
      <c r="M449" s="9" t="n"/>
      <c r="N449" s="9" t="n"/>
      <c r="O449" s="9" t="n"/>
      <c r="P449" s="9" t="n"/>
      <c r="Q449" s="9" t="n"/>
      <c r="R449" s="9" t="n"/>
    </row>
    <row r="450" ht="16.5" customHeight="1">
      <c r="A450" s="679" t="n"/>
      <c r="B450" s="590" t="n"/>
      <c r="C450" s="591" t="n"/>
      <c r="D450" s="772" t="inlineStr">
        <is>
          <t>流量計積算計読み</t>
        </is>
      </c>
      <c r="E450" s="608" t="n"/>
      <c r="F450" s="449" t="inlineStr">
        <is>
          <t>㎥</t>
        </is>
      </c>
      <c r="G450" s="955" t="n"/>
      <c r="H450" s="955" t="n"/>
      <c r="I450" s="967" t="n"/>
      <c r="J450" s="967" t="n"/>
      <c r="K450" s="967" t="n"/>
      <c r="L450" s="9" t="n"/>
      <c r="M450" s="9" t="n"/>
      <c r="N450" s="9" t="n"/>
      <c r="O450" s="9" t="n"/>
      <c r="P450" s="9" t="n"/>
      <c r="Q450" s="9" t="n"/>
      <c r="R450" s="9" t="n"/>
    </row>
    <row r="451" ht="16.5" customHeight="1">
      <c r="A451" s="679" t="n"/>
      <c r="B451" s="767" t="inlineStr">
        <is>
          <t>Nｏ．２返送汚泥流量計</t>
        </is>
      </c>
      <c r="C451" s="587" t="n"/>
      <c r="D451" s="773" t="inlineStr">
        <is>
          <t>外観の確認</t>
        </is>
      </c>
      <c r="E451" s="950" t="n"/>
      <c r="F451" s="445" t="n"/>
      <c r="G451" s="333" t="n"/>
      <c r="H451" s="333" t="n"/>
      <c r="I451" s="400" t="n"/>
      <c r="J451" s="400" t="n"/>
      <c r="K451" s="400" t="n"/>
      <c r="L451" s="9" t="n"/>
      <c r="M451" s="9" t="n"/>
      <c r="N451" s="9" t="n"/>
      <c r="O451" s="9" t="n"/>
      <c r="P451" s="9" t="n"/>
      <c r="Q451" s="9" t="n"/>
      <c r="R451" s="9" t="n"/>
    </row>
    <row r="452" ht="16.5" customHeight="1">
      <c r="A452" s="679" t="n"/>
      <c r="B452" s="613" t="n"/>
      <c r="C452" s="602" t="n"/>
      <c r="D452" s="771" t="inlineStr">
        <is>
          <t>指示状況の確認</t>
        </is>
      </c>
      <c r="E452" s="641" t="n"/>
      <c r="F452" s="459" t="n"/>
      <c r="G452" s="447" t="n"/>
      <c r="H452" s="447" t="n"/>
      <c r="I452" s="514" t="n"/>
      <c r="J452" s="514" t="n"/>
      <c r="K452" s="514" t="n"/>
      <c r="L452" s="9" t="n"/>
      <c r="M452" s="9" t="n"/>
      <c r="N452" s="9" t="n"/>
      <c r="O452" s="9" t="n"/>
      <c r="P452" s="9" t="n"/>
      <c r="Q452" s="9" t="n"/>
      <c r="R452" s="9" t="n"/>
    </row>
    <row r="453" ht="16.5" customHeight="1">
      <c r="A453" s="679" t="n"/>
      <c r="B453" s="613" t="n"/>
      <c r="C453" s="602" t="n"/>
      <c r="D453" s="771" t="inlineStr">
        <is>
          <t>流量計の読み</t>
        </is>
      </c>
      <c r="E453" s="641" t="n"/>
      <c r="F453" s="459" t="inlineStr">
        <is>
          <t>㎥/ｈ</t>
        </is>
      </c>
      <c r="G453" s="466" t="n"/>
      <c r="H453" s="466" t="n"/>
      <c r="I453" s="521" t="n"/>
      <c r="J453" s="521" t="n"/>
      <c r="K453" s="521" t="n"/>
      <c r="L453" s="9" t="n"/>
      <c r="M453" s="9" t="n"/>
      <c r="N453" s="9" t="n"/>
      <c r="O453" s="9" t="n"/>
      <c r="P453" s="9" t="n"/>
      <c r="Q453" s="9" t="n"/>
      <c r="R453" s="9" t="n"/>
    </row>
    <row r="454" ht="16.5" customHeight="1">
      <c r="A454" s="679" t="n"/>
      <c r="B454" s="590" t="n"/>
      <c r="C454" s="591" t="n"/>
      <c r="D454" s="772" t="inlineStr">
        <is>
          <t>流量計積算計読み</t>
        </is>
      </c>
      <c r="E454" s="608" t="n"/>
      <c r="F454" s="449" t="inlineStr">
        <is>
          <t>㎥</t>
        </is>
      </c>
      <c r="G454" s="955" t="n"/>
      <c r="H454" s="955" t="n"/>
      <c r="I454" s="967" t="n"/>
      <c r="J454" s="967" t="n"/>
      <c r="K454" s="967" t="n"/>
      <c r="L454" s="9" t="n"/>
      <c r="M454" s="9" t="n"/>
      <c r="N454" s="9" t="n"/>
      <c r="O454" s="9" t="n"/>
      <c r="P454" s="9" t="n"/>
      <c r="Q454" s="9" t="n"/>
      <c r="R454" s="9" t="n"/>
    </row>
    <row r="455" ht="16.5" customHeight="1">
      <c r="A455" s="679" t="n"/>
      <c r="B455" s="782" t="inlineStr">
        <is>
          <t>余剰汚泥流量計</t>
        </is>
      </c>
      <c r="C455" s="587" t="n"/>
      <c r="D455" s="773" t="inlineStr">
        <is>
          <t>外観の確認</t>
        </is>
      </c>
      <c r="E455" s="950" t="n"/>
      <c r="F455" s="445" t="n"/>
      <c r="G455" s="333" t="n"/>
      <c r="H455" s="333" t="n"/>
      <c r="I455" s="400" t="n"/>
      <c r="J455" s="400" t="n"/>
      <c r="K455" s="400" t="n"/>
      <c r="L455" s="9" t="n"/>
      <c r="M455" s="9" t="n"/>
      <c r="N455" s="9" t="n"/>
      <c r="O455" s="9" t="n"/>
      <c r="P455" s="9" t="n"/>
      <c r="Q455" s="9" t="n"/>
      <c r="R455" s="9" t="n"/>
    </row>
    <row r="456" ht="16.5" customHeight="1">
      <c r="A456" s="679" t="n"/>
      <c r="B456" s="613" t="n"/>
      <c r="C456" s="602" t="n"/>
      <c r="D456" s="771" t="inlineStr">
        <is>
          <t>指示状況の確認</t>
        </is>
      </c>
      <c r="E456" s="641" t="n"/>
      <c r="F456" s="459" t="n"/>
      <c r="G456" s="447" t="n"/>
      <c r="H456" s="447" t="n"/>
      <c r="I456" s="514" t="n"/>
      <c r="J456" s="514" t="n"/>
      <c r="K456" s="514" t="n"/>
      <c r="L456" s="9" t="n"/>
      <c r="M456" s="9" t="n"/>
      <c r="N456" s="9" t="n"/>
      <c r="O456" s="9" t="n"/>
      <c r="P456" s="9" t="n"/>
      <c r="Q456" s="9" t="n"/>
      <c r="R456" s="9" t="n"/>
    </row>
    <row r="457" ht="16.5" customHeight="1">
      <c r="A457" s="679" t="n"/>
      <c r="B457" s="613" t="n"/>
      <c r="C457" s="602" t="n"/>
      <c r="D457" s="766" t="inlineStr">
        <is>
          <t>No.１余剰汚泥ポンプ流量計読み</t>
        </is>
      </c>
      <c r="E457" s="577" t="n"/>
      <c r="F457" s="459" t="inlineStr">
        <is>
          <t>㎥/ｈ</t>
        </is>
      </c>
      <c r="G457" s="460" t="n"/>
      <c r="H457" s="460" t="n"/>
      <c r="I457" s="522" t="n"/>
      <c r="J457" s="522" t="n"/>
      <c r="K457" s="522" t="n"/>
      <c r="L457" s="9" t="n"/>
      <c r="M457" s="9" t="n"/>
      <c r="N457" s="9" t="n"/>
      <c r="O457" s="9" t="n"/>
      <c r="P457" s="9" t="n"/>
      <c r="Q457" s="9" t="n"/>
      <c r="R457" s="9" t="n"/>
    </row>
    <row r="458" ht="16.5" customHeight="1">
      <c r="A458" s="679" t="n"/>
      <c r="B458" s="613" t="n"/>
      <c r="C458" s="602" t="n"/>
      <c r="D458" s="770" t="inlineStr">
        <is>
          <t>No.２余剰汚泥ポンプ流量計読み</t>
        </is>
      </c>
      <c r="E458" s="666" t="n"/>
      <c r="F458" s="459" t="inlineStr">
        <is>
          <t>㎥/ｈ</t>
        </is>
      </c>
      <c r="G458" s="460" t="n"/>
      <c r="H458" s="460" t="n"/>
      <c r="I458" s="522" t="n"/>
      <c r="J458" s="522" t="n"/>
      <c r="K458" s="522" t="n"/>
      <c r="L458" s="9" t="n"/>
      <c r="M458" s="9" t="n"/>
      <c r="N458" s="9" t="n"/>
      <c r="O458" s="9" t="n"/>
      <c r="P458" s="9" t="n"/>
      <c r="Q458" s="9" t="n"/>
      <c r="R458" s="9" t="n"/>
    </row>
    <row r="459" ht="16.5" customHeight="1">
      <c r="A459" s="679" t="n"/>
      <c r="B459" s="763" t="inlineStr">
        <is>
          <t>放流流量計</t>
        </is>
      </c>
      <c r="C459" s="587" t="n"/>
      <c r="D459" s="758" t="inlineStr">
        <is>
          <t>外観の確認</t>
        </is>
      </c>
      <c r="E459" s="583" t="n"/>
      <c r="F459" s="445" t="n"/>
      <c r="G459" s="333" t="n"/>
      <c r="H459" s="333" t="n"/>
      <c r="I459" s="400" t="n"/>
      <c r="J459" s="400" t="n"/>
      <c r="K459" s="400" t="n"/>
      <c r="L459" s="9" t="n"/>
      <c r="M459" s="9" t="n"/>
      <c r="N459" s="9" t="n"/>
      <c r="O459" s="9" t="n"/>
      <c r="P459" s="9" t="n"/>
      <c r="Q459" s="9" t="n"/>
      <c r="R459" s="9" t="n"/>
    </row>
    <row r="460" ht="16.5" customHeight="1">
      <c r="A460" s="679" t="n"/>
      <c r="B460" s="613" t="n"/>
      <c r="C460" s="602" t="n"/>
      <c r="D460" s="757" t="inlineStr">
        <is>
          <t>指示状況の確認</t>
        </is>
      </c>
      <c r="E460" s="577" t="n"/>
      <c r="F460" s="459" t="n"/>
      <c r="G460" s="447" t="n"/>
      <c r="H460" s="447" t="n"/>
      <c r="I460" s="514" t="n"/>
      <c r="J460" s="514" t="n"/>
      <c r="K460" s="514" t="n"/>
      <c r="L460" s="9" t="n"/>
      <c r="M460" s="9" t="n"/>
      <c r="N460" s="9" t="n"/>
      <c r="O460" s="9" t="n"/>
      <c r="P460" s="9" t="n"/>
      <c r="Q460" s="9" t="n"/>
      <c r="R460" s="9" t="n"/>
    </row>
    <row r="461" ht="16.5" customHeight="1">
      <c r="A461" s="679" t="n"/>
      <c r="B461" s="613" t="n"/>
      <c r="C461" s="602" t="n"/>
      <c r="D461" s="757" t="inlineStr">
        <is>
          <t>流量計の読み</t>
        </is>
      </c>
      <c r="E461" s="577" t="n"/>
      <c r="F461" s="459" t="inlineStr">
        <is>
          <t>㎥/ｈ</t>
        </is>
      </c>
      <c r="G461" s="460" t="n"/>
      <c r="H461" s="460" t="n"/>
      <c r="I461" s="522" t="n"/>
      <c r="J461" s="522" t="n"/>
      <c r="K461" s="522" t="n"/>
      <c r="L461" s="9" t="n"/>
      <c r="M461" s="9" t="n"/>
      <c r="N461" s="9" t="n"/>
      <c r="O461" s="9" t="n"/>
      <c r="P461" s="9" t="n"/>
      <c r="Q461" s="9" t="n"/>
      <c r="R461" s="9" t="n"/>
    </row>
    <row r="462" ht="16.5" customHeight="1">
      <c r="A462" s="679" t="n"/>
      <c r="B462" s="590" t="n"/>
      <c r="C462" s="591" t="n"/>
      <c r="D462" s="772" t="inlineStr">
        <is>
          <t>流量計積算の読み</t>
        </is>
      </c>
      <c r="E462" s="608" t="n"/>
      <c r="F462" s="319" t="inlineStr">
        <is>
          <t>㎥</t>
        </is>
      </c>
      <c r="G462" s="955" t="n"/>
      <c r="H462" s="955" t="n"/>
      <c r="I462" s="967" t="n"/>
      <c r="J462" s="967" t="n"/>
      <c r="K462" s="967" t="n"/>
      <c r="L462" s="9" t="n"/>
      <c r="M462" s="9" t="n"/>
      <c r="N462" s="9" t="n"/>
      <c r="O462" s="9" t="n"/>
      <c r="P462" s="9" t="n"/>
      <c r="Q462" s="9" t="n"/>
      <c r="R462" s="9" t="n"/>
    </row>
    <row r="463" ht="16.5" customHeight="1">
      <c r="A463" s="679" t="n"/>
      <c r="B463" s="778" t="inlineStr">
        <is>
          <t>汚濁負荷量計</t>
        </is>
      </c>
      <c r="C463" s="587" t="n"/>
      <c r="D463" s="758" t="inlineStr">
        <is>
          <t>外観の確認</t>
        </is>
      </c>
      <c r="E463" s="583" t="n"/>
      <c r="F463" s="445" t="n"/>
      <c r="G463" s="333" t="n"/>
      <c r="H463" s="333" t="n"/>
      <c r="I463" s="400" t="n"/>
      <c r="J463" s="400" t="n"/>
      <c r="K463" s="400" t="n"/>
      <c r="L463" s="9" t="n"/>
      <c r="M463" s="9" t="n"/>
      <c r="N463" s="9" t="n"/>
      <c r="O463" s="9" t="n"/>
      <c r="P463" s="9" t="n"/>
      <c r="Q463" s="9" t="n"/>
      <c r="R463" s="9" t="n"/>
    </row>
    <row r="464" ht="16.5" customHeight="1">
      <c r="A464" s="679" t="n"/>
      <c r="B464" s="613" t="n"/>
      <c r="C464" s="602" t="n"/>
      <c r="D464" s="757" t="inlineStr">
        <is>
          <t>指示状況の確認</t>
        </is>
      </c>
      <c r="E464" s="577" t="n"/>
      <c r="F464" s="459" t="n"/>
      <c r="G464" s="447" t="n"/>
      <c r="H464" s="447" t="n"/>
      <c r="I464" s="514" t="n"/>
      <c r="J464" s="514" t="n"/>
      <c r="K464" s="514" t="n"/>
      <c r="L464" s="9" t="n"/>
      <c r="M464" s="9" t="n"/>
      <c r="N464" s="9" t="n"/>
      <c r="O464" s="9" t="n"/>
      <c r="P464" s="9" t="n"/>
      <c r="Q464" s="9" t="n"/>
      <c r="R464" s="9" t="n"/>
    </row>
    <row r="465" ht="16.5" customHeight="1">
      <c r="A465" s="679" t="n"/>
      <c r="B465" s="779" t="inlineStr">
        <is>
          <t>（放流水ＵＶ）</t>
        </is>
      </c>
      <c r="C465" s="602" t="n"/>
      <c r="D465" s="757" t="inlineStr">
        <is>
          <t>ＵＶ値</t>
        </is>
      </c>
      <c r="E465" s="577" t="n"/>
      <c r="F465" s="459" t="inlineStr">
        <is>
          <t>Abs</t>
        </is>
      </c>
      <c r="G465" s="466" t="n"/>
      <c r="H465" s="466" t="n"/>
      <c r="I465" s="521" t="n"/>
      <c r="J465" s="521" t="n"/>
      <c r="K465" s="521" t="n"/>
      <c r="L465" s="9" t="n"/>
      <c r="M465" s="9" t="n"/>
      <c r="N465" s="9" t="n"/>
      <c r="O465" s="9" t="n"/>
      <c r="P465" s="9" t="n"/>
      <c r="Q465" s="9" t="n"/>
      <c r="R465" s="9" t="n"/>
    </row>
    <row r="466" ht="16.5" customHeight="1">
      <c r="A466" s="506" t="n"/>
      <c r="B466" s="590" t="n"/>
      <c r="C466" s="591" t="n"/>
      <c r="D466" s="772" t="inlineStr">
        <is>
          <t>ＣＯＤ値</t>
        </is>
      </c>
      <c r="E466" s="608" t="n"/>
      <c r="F466" s="319" t="inlineStr">
        <is>
          <t>㎎/ℓ</t>
        </is>
      </c>
      <c r="G466" s="955" t="n"/>
      <c r="H466" s="955" t="n"/>
      <c r="I466" s="967" t="n"/>
      <c r="J466" s="967" t="n"/>
      <c r="K466" s="967" t="n"/>
      <c r="L466" s="9" t="n"/>
      <c r="M466" s="9" t="n"/>
      <c r="N466" s="9" t="n"/>
      <c r="O466" s="9" t="n"/>
      <c r="P466" s="9" t="n"/>
      <c r="Q466" s="9" t="n"/>
      <c r="R466" s="9" t="n"/>
    </row>
    <row r="467" ht="13.5" customHeight="1">
      <c r="A467" s="781" t="inlineStr">
        <is>
          <t>備考</t>
        </is>
      </c>
      <c r="B467" s="470" t="n"/>
      <c r="C467" s="471" t="n"/>
      <c r="D467" s="471" t="n"/>
      <c r="E467" s="471" t="n"/>
      <c r="F467" s="471" t="n"/>
      <c r="G467" s="492" t="n"/>
      <c r="H467" s="492" t="n"/>
      <c r="I467" s="492" t="n"/>
      <c r="J467" s="531" t="n"/>
      <c r="K467" s="493" t="n"/>
      <c r="L467" s="9" t="n"/>
      <c r="M467" s="9" t="n"/>
      <c r="N467" s="9" t="n"/>
      <c r="O467" s="9" t="n"/>
      <c r="P467" s="9" t="n"/>
      <c r="Q467" s="9" t="n"/>
      <c r="R467" s="9" t="n"/>
    </row>
    <row r="468" ht="94.5" customHeight="1">
      <c r="A468" s="626" t="n"/>
      <c r="B468" s="494" t="n"/>
      <c r="C468" s="495" t="n"/>
      <c r="D468" s="495" t="n"/>
      <c r="E468" s="495" t="n"/>
      <c r="F468" s="495" t="n"/>
      <c r="G468" s="496" t="n"/>
      <c r="H468" s="496" t="n"/>
      <c r="I468" s="496" t="n"/>
      <c r="J468" s="496" t="n"/>
      <c r="K468" s="497" t="n"/>
      <c r="L468" s="9" t="n"/>
      <c r="M468" s="9" t="n"/>
      <c r="N468" s="9" t="n"/>
      <c r="O468" s="9" t="n"/>
      <c r="P468" s="9" t="n"/>
      <c r="Q468" s="9" t="n"/>
      <c r="R468" s="9" t="n"/>
    </row>
    <row r="469" ht="21" customHeight="1">
      <c r="A469" s="299" t="inlineStr">
        <is>
          <t xml:space="preserve">　電気設備日常点検（３/３）</t>
        </is>
      </c>
      <c r="B469" s="128" t="n"/>
      <c r="C469" s="128" t="n"/>
      <c r="D469" s="128" t="n"/>
      <c r="E469" s="128" t="n"/>
      <c r="F469" s="128" t="n"/>
      <c r="G469" s="128" t="n"/>
      <c r="H469" s="128" t="n"/>
      <c r="I469" s="128" t="n"/>
      <c r="J469" s="128" t="n"/>
      <c r="K469" s="355">
        <f>K1</f>
        <v/>
      </c>
      <c r="L469" s="9" t="n"/>
      <c r="M469" s="9" t="n"/>
      <c r="N469" s="9" t="n"/>
      <c r="O469" s="9" t="n"/>
      <c r="P469" s="9" t="n"/>
      <c r="Q469" s="9" t="n"/>
      <c r="R469" s="9" t="n"/>
    </row>
    <row r="470" ht="13.5" customHeight="1">
      <c r="A470" s="768" t="n"/>
      <c r="B470" s="765" t="inlineStr">
        <is>
          <t>機器名</t>
        </is>
      </c>
      <c r="C470" s="587" t="n"/>
      <c r="D470" s="765" t="inlineStr">
        <is>
          <t>点　　検　　者　　氏　　名</t>
        </is>
      </c>
      <c r="E470" s="574" t="n"/>
      <c r="F470" s="580" t="n"/>
      <c r="G470" s="309" t="n"/>
      <c r="H470" s="309" t="n"/>
      <c r="I470" s="392" t="n"/>
      <c r="J470" s="392" t="n"/>
      <c r="K470" s="392" t="n"/>
      <c r="L470" s="9" t="n"/>
      <c r="M470" s="9" t="n"/>
      <c r="N470" s="9" t="n"/>
      <c r="O470" s="9" t="n"/>
      <c r="P470" s="9" t="n"/>
      <c r="Q470" s="9" t="n"/>
      <c r="R470" s="9" t="n"/>
    </row>
    <row r="471" ht="13.5" customHeight="1">
      <c r="A471" s="626" t="n"/>
      <c r="B471" s="590" t="n"/>
      <c r="C471" s="591" t="n"/>
      <c r="D471" s="765" t="inlineStr">
        <is>
          <t>点　　　検　　　内　　　容</t>
        </is>
      </c>
      <c r="E471" s="574" t="n"/>
      <c r="F471" s="580" t="n"/>
      <c r="G471" s="948" t="n"/>
      <c r="H471" s="948" t="n"/>
      <c r="I471" s="970" t="n"/>
      <c r="J471" s="970" t="n"/>
      <c r="K471" s="970" t="n"/>
      <c r="L471" s="9" t="n"/>
      <c r="M471" s="9" t="n"/>
      <c r="N471" s="9" t="n"/>
      <c r="O471" s="9" t="n"/>
      <c r="P471" s="9" t="n"/>
      <c r="Q471" s="9" t="n"/>
      <c r="R471" s="9" t="n"/>
    </row>
    <row r="472" ht="16.5" customHeight="1">
      <c r="A472" s="759" t="inlineStr">
        <is>
          <t>計装設備</t>
        </is>
      </c>
      <c r="B472" s="763" t="inlineStr">
        <is>
          <t>全窒素・全燐計</t>
        </is>
      </c>
      <c r="C472" s="587" t="n"/>
      <c r="D472" s="758" t="inlineStr">
        <is>
          <t>外観の確認</t>
        </is>
      </c>
      <c r="E472" s="583" t="n"/>
      <c r="F472" s="445" t="n"/>
      <c r="G472" s="333" t="n"/>
      <c r="H472" s="333" t="n"/>
      <c r="I472" s="400" t="n"/>
      <c r="J472" s="400" t="n"/>
      <c r="K472" s="400" t="n"/>
      <c r="L472" s="9" t="n"/>
      <c r="M472" s="9" t="n"/>
      <c r="N472" s="9" t="n"/>
      <c r="O472" s="9" t="n"/>
      <c r="P472" s="9" t="n"/>
      <c r="Q472" s="9" t="n"/>
      <c r="R472" s="9" t="n"/>
    </row>
    <row r="473" ht="16.5" customHeight="1">
      <c r="A473" s="679" t="n"/>
      <c r="B473" s="613" t="n"/>
      <c r="C473" s="602" t="n"/>
      <c r="D473" s="757" t="inlineStr">
        <is>
          <t>指示状況の確認</t>
        </is>
      </c>
      <c r="E473" s="577" t="n"/>
      <c r="F473" s="459" t="n"/>
      <c r="G473" s="447" t="n"/>
      <c r="H473" s="447" t="n"/>
      <c r="I473" s="514" t="n"/>
      <c r="J473" s="514" t="n"/>
      <c r="K473" s="514" t="n"/>
      <c r="L473" s="9" t="n"/>
      <c r="M473" s="9" t="n"/>
      <c r="N473" s="9" t="n"/>
      <c r="O473" s="9" t="n"/>
      <c r="P473" s="9" t="n"/>
      <c r="Q473" s="9" t="n"/>
      <c r="R473" s="9" t="n"/>
    </row>
    <row r="474" ht="16.5" customHeight="1">
      <c r="A474" s="679" t="n"/>
      <c r="B474" s="613" t="n"/>
      <c r="C474" s="602" t="n"/>
      <c r="D474" s="757" t="inlineStr">
        <is>
          <t>計器読み（全窒素）</t>
        </is>
      </c>
      <c r="E474" s="577" t="n"/>
      <c r="F474" s="459" t="inlineStr">
        <is>
          <t>㎎/ℓ</t>
        </is>
      </c>
      <c r="G474" s="466" t="n"/>
      <c r="H474" s="466" t="n"/>
      <c r="I474" s="521" t="n"/>
      <c r="J474" s="521" t="n"/>
      <c r="K474" s="521" t="n"/>
      <c r="L474" s="9" t="n"/>
      <c r="M474" s="9" t="n"/>
      <c r="N474" s="9" t="n"/>
      <c r="O474" s="9" t="n"/>
      <c r="P474" s="9" t="n"/>
      <c r="Q474" s="9" t="n"/>
      <c r="R474" s="9" t="n"/>
    </row>
    <row r="475" ht="16.5" customHeight="1">
      <c r="A475" s="679" t="n"/>
      <c r="B475" s="590" t="n"/>
      <c r="C475" s="591" t="n"/>
      <c r="D475" s="772" t="inlineStr">
        <is>
          <t>計器読み（全りん）</t>
        </is>
      </c>
      <c r="E475" s="608" t="n"/>
      <c r="F475" s="449" t="inlineStr">
        <is>
          <t>㎎/ℓ</t>
        </is>
      </c>
      <c r="G475" s="450" t="n"/>
      <c r="H475" s="450" t="n"/>
      <c r="I475" s="515" t="n"/>
      <c r="J475" s="515" t="n"/>
      <c r="K475" s="515" t="n"/>
      <c r="L475" s="9" t="n"/>
      <c r="M475" s="9" t="n"/>
      <c r="N475" s="9" t="n"/>
      <c r="O475" s="9" t="n"/>
      <c r="P475" s="9" t="n"/>
      <c r="Q475" s="9" t="n"/>
      <c r="R475" s="9" t="n"/>
    </row>
    <row r="476" ht="16.5" customHeight="1">
      <c r="A476" s="679" t="n"/>
      <c r="B476" s="767" t="inlineStr">
        <is>
          <t>圧力式液位計</t>
        </is>
      </c>
      <c r="C476" s="587" t="n"/>
      <c r="D476" s="758" t="inlineStr">
        <is>
          <t>外観の確認</t>
        </is>
      </c>
      <c r="E476" s="482" t="n"/>
      <c r="F476" s="445" t="n"/>
      <c r="G476" s="333" t="n"/>
      <c r="H476" s="333" t="n"/>
      <c r="I476" s="400" t="n"/>
      <c r="J476" s="400" t="n"/>
      <c r="K476" s="400" t="n"/>
      <c r="L476" s="9" t="n"/>
      <c r="M476" s="9" t="n"/>
      <c r="N476" s="9" t="n"/>
      <c r="O476" s="9" t="n"/>
      <c r="P476" s="9" t="n"/>
      <c r="Q476" s="9" t="n"/>
      <c r="R476" s="9" t="n"/>
    </row>
    <row r="477" ht="16.5" customHeight="1">
      <c r="A477" s="679" t="n"/>
      <c r="B477" s="613" t="n"/>
      <c r="C477" s="602" t="n"/>
      <c r="D477" s="757" t="inlineStr">
        <is>
          <t>指示状況の確認</t>
        </is>
      </c>
      <c r="E477" s="483" t="n"/>
      <c r="F477" s="459" t="n"/>
      <c r="G477" s="447" t="n"/>
      <c r="H477" s="447" t="n"/>
      <c r="I477" s="514" t="n"/>
      <c r="J477" s="514" t="n"/>
      <c r="K477" s="514" t="n"/>
      <c r="L477" s="9" t="n"/>
      <c r="M477" s="9" t="n"/>
      <c r="N477" s="9" t="n"/>
      <c r="O477" s="9" t="n"/>
      <c r="P477" s="9" t="n"/>
      <c r="Q477" s="9" t="n"/>
      <c r="R477" s="9" t="n"/>
    </row>
    <row r="478" ht="16.5" customHeight="1">
      <c r="A478" s="626" t="n"/>
      <c r="B478" s="590" t="n"/>
      <c r="C478" s="591" t="n"/>
      <c r="D478" s="772" t="inlineStr">
        <is>
          <t>機器指示地の記録</t>
        </is>
      </c>
      <c r="E478" s="484" t="n"/>
      <c r="F478" s="449" t="inlineStr">
        <is>
          <t>ｍ</t>
        </is>
      </c>
      <c r="G478" s="946" t="n"/>
      <c r="H478" s="946" t="n"/>
      <c r="I478" s="963" t="n"/>
      <c r="J478" s="963" t="n"/>
      <c r="K478" s="963" t="n"/>
      <c r="L478" s="9" t="n"/>
      <c r="M478" s="9" t="n"/>
      <c r="N478" s="9" t="n"/>
      <c r="O478" s="9" t="n"/>
      <c r="P478" s="9" t="n"/>
      <c r="Q478" s="9" t="n"/>
      <c r="R478" s="9" t="n"/>
    </row>
    <row r="479" ht="16.5" customHeight="1">
      <c r="A479" s="780" t="inlineStr">
        <is>
          <t>発電機設備</t>
        </is>
      </c>
      <c r="B479" s="776" t="inlineStr">
        <is>
          <t>発電機盤</t>
        </is>
      </c>
      <c r="C479" s="580" t="n"/>
      <c r="D479" s="769" t="inlineStr">
        <is>
          <t>外観の確認</t>
        </is>
      </c>
      <c r="E479" s="574" t="n"/>
      <c r="F479" s="307" t="n"/>
      <c r="G479" s="309" t="n"/>
      <c r="H479" s="309" t="n"/>
      <c r="I479" s="392" t="n"/>
      <c r="J479" s="392" t="n"/>
      <c r="K479" s="392" t="n"/>
      <c r="L479" s="9" t="n"/>
      <c r="M479" s="9" t="n"/>
      <c r="N479" s="9" t="n"/>
      <c r="O479" s="9" t="n"/>
      <c r="P479" s="9" t="n"/>
      <c r="Q479" s="9" t="n"/>
      <c r="R479" s="9" t="n"/>
    </row>
    <row r="480" ht="16.5" customHeight="1">
      <c r="A480" s="679" t="n"/>
      <c r="B480" s="776" t="inlineStr">
        <is>
          <t>エンジン</t>
        </is>
      </c>
      <c r="C480" s="580" t="n"/>
      <c r="D480" s="769" t="inlineStr">
        <is>
          <t>外観の確認</t>
        </is>
      </c>
      <c r="E480" s="574" t="n"/>
      <c r="F480" s="307" t="n"/>
      <c r="G480" s="333" t="n"/>
      <c r="H480" s="333" t="n"/>
      <c r="I480" s="400" t="n"/>
      <c r="J480" s="400" t="n"/>
      <c r="K480" s="400" t="n"/>
      <c r="L480" s="9" t="n"/>
      <c r="M480" s="9" t="n"/>
      <c r="N480" s="9" t="n"/>
      <c r="O480" s="9" t="n"/>
      <c r="P480" s="9" t="n"/>
      <c r="Q480" s="9" t="n"/>
      <c r="R480" s="9" t="n"/>
    </row>
    <row r="481" ht="16.5" customHeight="1">
      <c r="A481" s="679" t="n"/>
      <c r="B481" s="776" t="inlineStr">
        <is>
          <t>燃料タンク</t>
        </is>
      </c>
      <c r="C481" s="587" t="n"/>
      <c r="D481" s="758" t="inlineStr">
        <is>
          <t>外観の確認</t>
        </is>
      </c>
      <c r="E481" s="583" t="n"/>
      <c r="F481" s="445" t="n"/>
      <c r="G481" s="333" t="n"/>
      <c r="H481" s="333" t="n"/>
      <c r="I481" s="400" t="n"/>
      <c r="J481" s="400" t="n"/>
      <c r="K481" s="400" t="n"/>
      <c r="L481" s="9" t="n"/>
      <c r="M481" s="9" t="n"/>
      <c r="N481" s="9" t="n"/>
      <c r="O481" s="9" t="n"/>
      <c r="P481" s="9" t="n"/>
      <c r="Q481" s="9" t="n"/>
      <c r="R481" s="9" t="n"/>
    </row>
    <row r="482" ht="16.5" customHeight="1">
      <c r="A482" s="679" t="n"/>
      <c r="B482" s="598" t="n"/>
      <c r="C482" s="591" t="n"/>
      <c r="D482" s="772" t="inlineStr">
        <is>
          <t>残量の値</t>
        </is>
      </c>
      <c r="E482" s="608" t="n"/>
      <c r="F482" s="449" t="inlineStr">
        <is>
          <t>ℓ</t>
        </is>
      </c>
      <c r="G482" s="485" t="n"/>
      <c r="H482" s="485" t="n"/>
      <c r="I482" s="526" t="n"/>
      <c r="J482" s="526" t="n"/>
      <c r="K482" s="526" t="n"/>
      <c r="L482" s="9" t="n"/>
      <c r="M482" s="9" t="n"/>
      <c r="N482" s="9" t="n"/>
      <c r="O482" s="9" t="n"/>
      <c r="P482" s="9" t="n"/>
      <c r="Q482" s="9" t="n"/>
      <c r="R482" s="9" t="n"/>
    </row>
    <row r="483" ht="16.5" customHeight="1">
      <c r="A483" s="759" t="inlineStr">
        <is>
          <t>他</t>
        </is>
      </c>
      <c r="B483" s="763" t="inlineStr">
        <is>
          <t>通報装置</t>
        </is>
      </c>
      <c r="C483" s="580" t="n"/>
      <c r="D483" s="769" t="inlineStr">
        <is>
          <t>通報状態の確認</t>
        </is>
      </c>
      <c r="E483" s="574" t="n"/>
      <c r="F483" s="307" t="n"/>
      <c r="G483" s="309" t="n"/>
      <c r="H483" s="309" t="n"/>
      <c r="I483" s="392" t="n"/>
      <c r="J483" s="392" t="n"/>
      <c r="K483" s="392" t="n"/>
      <c r="L483" s="9" t="n"/>
      <c r="M483" s="9" t="n"/>
      <c r="N483" s="9" t="n"/>
      <c r="O483" s="9" t="n"/>
      <c r="P483" s="9" t="n"/>
      <c r="Q483" s="9" t="n"/>
      <c r="R483" s="9" t="n"/>
    </row>
    <row r="484" ht="16.5" customHeight="1">
      <c r="A484" s="487" t="n"/>
      <c r="B484" s="747" t="inlineStr">
        <is>
          <t>○：良　　△：要注意　　×要修理</t>
        </is>
      </c>
      <c r="C484" s="747" t="n"/>
      <c r="D484" s="747" t="n"/>
      <c r="E484" s="747" t="n"/>
      <c r="F484" s="488" t="n"/>
      <c r="G484" s="489" t="n"/>
      <c r="H484" s="491" t="n"/>
      <c r="I484" s="491" t="n"/>
      <c r="J484" s="535" t="n"/>
      <c r="K484" s="491" t="n"/>
      <c r="L484" s="9" t="n"/>
      <c r="M484" s="9" t="n"/>
      <c r="N484" s="9" t="n"/>
      <c r="O484" s="9" t="n"/>
      <c r="P484" s="9" t="n"/>
      <c r="Q484" s="9" t="n"/>
      <c r="R484" s="9" t="n"/>
    </row>
    <row r="485" ht="16.5" customHeight="1">
      <c r="A485" s="759" t="inlineStr">
        <is>
          <t>備　　　　　考</t>
        </is>
      </c>
      <c r="B485" s="470" t="n"/>
      <c r="C485" s="471" t="n"/>
      <c r="D485" s="471" t="n"/>
      <c r="E485" s="471" t="n"/>
      <c r="F485" s="471" t="n"/>
      <c r="G485" s="492" t="n"/>
      <c r="H485" s="492" t="n"/>
      <c r="I485" s="492" t="n"/>
      <c r="J485" s="476" t="n"/>
      <c r="K485" s="493" t="n"/>
      <c r="L485" s="9" t="n"/>
      <c r="M485" s="9" t="n"/>
      <c r="N485" s="9" t="n"/>
      <c r="O485" s="9" t="n"/>
      <c r="P485" s="9" t="n"/>
      <c r="Q485" s="9" t="n"/>
      <c r="R485" s="9" t="n"/>
    </row>
    <row r="486" ht="16.5" customHeight="1">
      <c r="A486" s="679" t="n"/>
      <c r="B486" s="474" t="n"/>
      <c r="C486" s="475" t="n"/>
      <c r="D486" s="475" t="n"/>
      <c r="E486" s="475" t="n"/>
      <c r="F486" s="475" t="n"/>
      <c r="G486" s="476" t="n"/>
      <c r="H486" s="476" t="n"/>
      <c r="I486" s="476" t="n"/>
      <c r="J486" s="476" t="n"/>
      <c r="K486" s="477" t="n"/>
      <c r="L486" s="9" t="n"/>
      <c r="M486" s="9" t="n"/>
      <c r="N486" s="9" t="n"/>
      <c r="O486" s="9" t="n"/>
      <c r="P486" s="9" t="n"/>
      <c r="Q486" s="9" t="n"/>
      <c r="R486" s="9" t="n"/>
    </row>
    <row r="487" ht="16.5" customHeight="1">
      <c r="A487" s="679" t="n"/>
      <c r="B487" s="474" t="n"/>
      <c r="C487" s="475" t="n"/>
      <c r="D487" s="475" t="n"/>
      <c r="E487" s="475" t="n"/>
      <c r="F487" s="475" t="n"/>
      <c r="G487" s="476" t="n"/>
      <c r="H487" s="476" t="n"/>
      <c r="I487" s="476" t="n"/>
      <c r="J487" s="476" t="n"/>
      <c r="K487" s="477" t="n"/>
      <c r="L487" s="9" t="n"/>
      <c r="M487" s="9" t="n"/>
      <c r="N487" s="9" t="n"/>
      <c r="O487" s="9" t="n"/>
      <c r="P487" s="9" t="n"/>
      <c r="Q487" s="9" t="n"/>
      <c r="R487" s="9" t="n"/>
    </row>
    <row r="488" ht="16.5" customHeight="1">
      <c r="A488" s="679" t="n"/>
      <c r="B488" s="474" t="n"/>
      <c r="C488" s="475" t="n"/>
      <c r="D488" s="475" t="n"/>
      <c r="E488" s="475" t="n"/>
      <c r="F488" s="475" t="n"/>
      <c r="G488" s="476" t="n"/>
      <c r="H488" s="476" t="n"/>
      <c r="I488" s="476" t="n"/>
      <c r="J488" s="476" t="n"/>
      <c r="K488" s="477" t="n"/>
      <c r="L488" s="9" t="n"/>
      <c r="M488" s="9" t="n"/>
      <c r="N488" s="9" t="n"/>
      <c r="O488" s="9" t="n"/>
      <c r="P488" s="9" t="n"/>
      <c r="Q488" s="9" t="n"/>
      <c r="R488" s="9" t="n"/>
    </row>
    <row r="489" ht="16.5" customHeight="1">
      <c r="A489" s="679" t="n"/>
      <c r="B489" s="474" t="n"/>
      <c r="C489" s="475" t="n"/>
      <c r="D489" s="475" t="n"/>
      <c r="E489" s="475" t="n"/>
      <c r="F489" s="475" t="n"/>
      <c r="G489" s="476" t="n"/>
      <c r="H489" s="476" t="n"/>
      <c r="I489" s="476" t="n"/>
      <c r="J489" s="476" t="n"/>
      <c r="K489" s="477" t="n"/>
      <c r="L489" s="9" t="n"/>
      <c r="M489" s="9" t="n"/>
      <c r="N489" s="9" t="n"/>
      <c r="O489" s="9" t="n"/>
      <c r="P489" s="9" t="n"/>
      <c r="Q489" s="9" t="n"/>
      <c r="R489" s="9" t="n"/>
    </row>
    <row r="490" ht="16.5" customHeight="1">
      <c r="A490" s="679" t="n"/>
      <c r="B490" s="474" t="n"/>
      <c r="C490" s="475" t="n"/>
      <c r="D490" s="475" t="n"/>
      <c r="E490" s="475" t="n"/>
      <c r="F490" s="475" t="n"/>
      <c r="G490" s="476" t="n"/>
      <c r="H490" s="476" t="n"/>
      <c r="I490" s="476" t="n"/>
      <c r="J490" s="476" t="n"/>
      <c r="K490" s="477" t="n"/>
      <c r="L490" s="9" t="n"/>
      <c r="M490" s="9" t="n"/>
      <c r="N490" s="9" t="n"/>
      <c r="O490" s="9" t="n"/>
      <c r="P490" s="9" t="n"/>
      <c r="Q490" s="9" t="n"/>
      <c r="R490" s="9" t="n"/>
    </row>
    <row r="491" ht="16.5" customHeight="1">
      <c r="A491" s="679" t="n"/>
      <c r="B491" s="474" t="n"/>
      <c r="C491" s="475" t="n"/>
      <c r="D491" s="475" t="n"/>
      <c r="E491" s="475" t="n"/>
      <c r="F491" s="475" t="n"/>
      <c r="G491" s="476" t="n"/>
      <c r="H491" s="476" t="n"/>
      <c r="I491" s="476" t="n"/>
      <c r="J491" s="476" t="n"/>
      <c r="K491" s="477" t="n"/>
      <c r="L491" s="9" t="n"/>
      <c r="M491" s="9" t="n"/>
      <c r="N491" s="9" t="n"/>
      <c r="O491" s="9" t="n"/>
      <c r="P491" s="9" t="n"/>
      <c r="Q491" s="9" t="n"/>
      <c r="R491" s="9" t="n"/>
    </row>
    <row r="492" ht="16.5" customHeight="1">
      <c r="A492" s="679" t="n"/>
      <c r="B492" s="474" t="n"/>
      <c r="C492" s="475" t="n"/>
      <c r="D492" s="475" t="n"/>
      <c r="E492" s="475" t="n"/>
      <c r="F492" s="475" t="n"/>
      <c r="G492" s="476" t="n"/>
      <c r="H492" s="476" t="n"/>
      <c r="I492" s="476" t="n"/>
      <c r="J492" s="476" t="n"/>
      <c r="K492" s="477" t="n"/>
      <c r="L492" s="9" t="n"/>
      <c r="M492" s="9" t="n"/>
      <c r="N492" s="9" t="n"/>
      <c r="O492" s="9" t="n"/>
      <c r="P492" s="9" t="n"/>
      <c r="Q492" s="9" t="n"/>
      <c r="R492" s="9" t="n"/>
    </row>
    <row r="493" ht="16.5" customHeight="1">
      <c r="A493" s="679" t="n"/>
      <c r="B493" s="474" t="n"/>
      <c r="C493" s="475" t="n"/>
      <c r="D493" s="475" t="n"/>
      <c r="E493" s="475" t="n"/>
      <c r="F493" s="475" t="n"/>
      <c r="G493" s="476" t="n"/>
      <c r="H493" s="476" t="n"/>
      <c r="I493" s="476" t="n"/>
      <c r="J493" s="476" t="n"/>
      <c r="K493" s="477" t="n"/>
      <c r="L493" s="9" t="n"/>
      <c r="M493" s="9" t="n"/>
      <c r="N493" s="9" t="n"/>
      <c r="O493" s="9" t="n"/>
      <c r="P493" s="9" t="n"/>
      <c r="Q493" s="9" t="n"/>
      <c r="R493" s="9" t="n"/>
    </row>
    <row r="494" ht="16.5" customHeight="1">
      <c r="A494" s="679" t="n"/>
      <c r="B494" s="474" t="n"/>
      <c r="C494" s="475" t="n"/>
      <c r="D494" s="475" t="n"/>
      <c r="E494" s="475" t="n"/>
      <c r="F494" s="475" t="n"/>
      <c r="G494" s="476" t="n"/>
      <c r="H494" s="476" t="n"/>
      <c r="I494" s="476" t="n"/>
      <c r="J494" s="476" t="n"/>
      <c r="K494" s="477" t="n"/>
      <c r="L494" s="9" t="n"/>
      <c r="M494" s="9" t="n"/>
      <c r="N494" s="9" t="n"/>
      <c r="O494" s="9" t="n"/>
      <c r="P494" s="9" t="n"/>
      <c r="Q494" s="9" t="n"/>
      <c r="R494" s="9" t="n"/>
    </row>
    <row r="495" ht="16.5" customHeight="1">
      <c r="A495" s="679" t="n"/>
      <c r="B495" s="474" t="n"/>
      <c r="C495" s="475" t="n"/>
      <c r="D495" s="475" t="n"/>
      <c r="E495" s="475" t="n"/>
      <c r="F495" s="475" t="n"/>
      <c r="G495" s="476" t="n"/>
      <c r="H495" s="476" t="n"/>
      <c r="I495" s="476" t="n"/>
      <c r="J495" s="476" t="n"/>
      <c r="K495" s="477" t="n"/>
      <c r="L495" s="9" t="n"/>
      <c r="M495" s="9" t="n"/>
      <c r="N495" s="9" t="n"/>
      <c r="O495" s="9" t="n"/>
      <c r="P495" s="9" t="n"/>
      <c r="Q495" s="9" t="n"/>
      <c r="R495" s="9" t="n"/>
    </row>
    <row r="496" ht="16.5" customHeight="1">
      <c r="A496" s="679" t="n"/>
      <c r="B496" s="474" t="n"/>
      <c r="C496" s="475" t="n"/>
      <c r="D496" s="475" t="n"/>
      <c r="E496" s="475" t="n"/>
      <c r="F496" s="475" t="n"/>
      <c r="G496" s="476" t="n"/>
      <c r="H496" s="476" t="n"/>
      <c r="I496" s="476" t="n"/>
      <c r="J496" s="476" t="n"/>
      <c r="K496" s="477" t="n"/>
      <c r="L496" s="9" t="n"/>
      <c r="M496" s="9" t="n"/>
      <c r="N496" s="9" t="n"/>
      <c r="O496" s="9" t="n"/>
      <c r="P496" s="9" t="n"/>
      <c r="Q496" s="9" t="n"/>
      <c r="R496" s="9" t="n"/>
    </row>
    <row r="497" ht="16.5" customHeight="1">
      <c r="A497" s="679" t="n"/>
      <c r="B497" s="474" t="n"/>
      <c r="C497" s="475" t="n"/>
      <c r="D497" s="475" t="n"/>
      <c r="E497" s="475" t="n"/>
      <c r="F497" s="475" t="n"/>
      <c r="G497" s="476" t="n"/>
      <c r="H497" s="476" t="n"/>
      <c r="I497" s="476" t="n"/>
      <c r="J497" s="476" t="n"/>
      <c r="K497" s="477" t="n"/>
      <c r="L497" s="9" t="n"/>
      <c r="M497" s="9" t="n"/>
      <c r="N497" s="9" t="n"/>
      <c r="O497" s="9" t="n"/>
      <c r="P497" s="9" t="n"/>
      <c r="Q497" s="9" t="n"/>
      <c r="R497" s="9" t="n"/>
    </row>
    <row r="498" ht="16.5" customHeight="1">
      <c r="A498" s="679" t="n"/>
      <c r="B498" s="474" t="n"/>
      <c r="C498" s="475" t="n"/>
      <c r="D498" s="475" t="n"/>
      <c r="E498" s="475" t="n"/>
      <c r="F498" s="475" t="n"/>
      <c r="G498" s="476" t="n"/>
      <c r="H498" s="476" t="n"/>
      <c r="I498" s="476" t="n"/>
      <c r="J498" s="476" t="n"/>
      <c r="K498" s="477" t="n"/>
      <c r="L498" s="9" t="n"/>
      <c r="M498" s="9" t="n"/>
      <c r="N498" s="9" t="n"/>
      <c r="O498" s="9" t="n"/>
      <c r="P498" s="9" t="n"/>
      <c r="Q498" s="9" t="n"/>
      <c r="R498" s="9" t="n"/>
    </row>
    <row r="499" ht="16.5" customHeight="1">
      <c r="A499" s="679" t="n"/>
      <c r="B499" s="474" t="n"/>
      <c r="C499" s="475" t="n"/>
      <c r="D499" s="475" t="n"/>
      <c r="E499" s="475" t="n"/>
      <c r="F499" s="475" t="n"/>
      <c r="G499" s="476" t="n"/>
      <c r="H499" s="476" t="n"/>
      <c r="I499" s="476" t="n"/>
      <c r="J499" s="476" t="n"/>
      <c r="K499" s="477" t="n"/>
      <c r="L499" s="9" t="n"/>
      <c r="M499" s="9" t="n"/>
      <c r="N499" s="9" t="n"/>
      <c r="O499" s="9" t="n"/>
      <c r="P499" s="9" t="n"/>
      <c r="Q499" s="9" t="n"/>
      <c r="R499" s="9" t="n"/>
    </row>
    <row r="500" ht="16.5" customHeight="1">
      <c r="A500" s="679" t="n"/>
      <c r="B500" s="474" t="n"/>
      <c r="C500" s="475" t="n"/>
      <c r="D500" s="475" t="n"/>
      <c r="E500" s="475" t="n"/>
      <c r="F500" s="475" t="n"/>
      <c r="G500" s="476" t="n"/>
      <c r="H500" s="476" t="n"/>
      <c r="I500" s="476" t="n"/>
      <c r="J500" s="476" t="n"/>
      <c r="K500" s="477" t="n"/>
      <c r="L500" s="9" t="n"/>
      <c r="M500" s="9" t="n"/>
      <c r="N500" s="9" t="n"/>
      <c r="O500" s="9" t="n"/>
      <c r="P500" s="9" t="n"/>
      <c r="Q500" s="9" t="n"/>
      <c r="R500" s="9" t="n"/>
    </row>
    <row r="501" ht="16.5" customHeight="1">
      <c r="A501" s="679" t="n"/>
      <c r="B501" s="474" t="n"/>
      <c r="C501" s="475" t="n"/>
      <c r="D501" s="475" t="n"/>
      <c r="E501" s="475" t="n"/>
      <c r="F501" s="475" t="n"/>
      <c r="G501" s="476" t="n"/>
      <c r="H501" s="476" t="n"/>
      <c r="I501" s="476" t="n"/>
      <c r="J501" s="476" t="n"/>
      <c r="K501" s="477" t="n"/>
      <c r="L501" s="9" t="n"/>
      <c r="M501" s="9" t="n"/>
      <c r="N501" s="9" t="n"/>
      <c r="O501" s="9" t="n"/>
      <c r="P501" s="9" t="n"/>
      <c r="Q501" s="9" t="n"/>
      <c r="R501" s="9" t="n"/>
    </row>
    <row r="502" ht="16.5" customHeight="1">
      <c r="A502" s="679" t="n"/>
      <c r="B502" s="474" t="n"/>
      <c r="C502" s="475" t="n"/>
      <c r="D502" s="475" t="n"/>
      <c r="E502" s="475" t="n"/>
      <c r="F502" s="475" t="n"/>
      <c r="G502" s="476" t="n"/>
      <c r="H502" s="476" t="n"/>
      <c r="I502" s="476" t="n"/>
      <c r="J502" s="476" t="n"/>
      <c r="K502" s="477" t="n"/>
      <c r="L502" s="9" t="n"/>
      <c r="M502" s="9" t="n"/>
      <c r="N502" s="9" t="n"/>
      <c r="O502" s="9" t="n"/>
      <c r="P502" s="9" t="n"/>
      <c r="Q502" s="9" t="n"/>
      <c r="R502" s="9" t="n"/>
    </row>
    <row r="503" ht="16.5" customHeight="1">
      <c r="A503" s="626" t="n"/>
      <c r="B503" s="494" t="n"/>
      <c r="C503" s="495" t="n"/>
      <c r="D503" s="495" t="n"/>
      <c r="E503" s="495" t="n"/>
      <c r="F503" s="495" t="n"/>
      <c r="G503" s="496" t="n"/>
      <c r="H503" s="496" t="n"/>
      <c r="I503" s="496" t="n"/>
      <c r="J503" s="496" t="n"/>
      <c r="K503" s="497" t="n"/>
      <c r="L503" s="9" t="n"/>
      <c r="M503" s="9" t="n"/>
      <c r="N503" s="9" t="n"/>
      <c r="O503" s="9" t="n"/>
      <c r="P503" s="9" t="n"/>
      <c r="Q503" s="9" t="n"/>
      <c r="R503" s="9" t="n"/>
    </row>
    <row r="504" ht="21" customHeight="1">
      <c r="A504" s="536" t="n"/>
      <c r="B504" s="369" t="n"/>
      <c r="C504" s="369" t="n"/>
      <c r="D504" s="369" t="n"/>
      <c r="E504" s="369" t="n"/>
      <c r="F504" s="345" t="n"/>
      <c r="G504" s="345" t="n"/>
      <c r="H504" s="345" t="n"/>
      <c r="I504" s="345" t="n"/>
      <c r="J504" s="9" t="n"/>
      <c r="K504" s="345" t="n"/>
      <c r="L504" s="9" t="n"/>
      <c r="M504" s="9" t="n"/>
      <c r="N504" s="9" t="n"/>
      <c r="O504" s="9" t="n"/>
      <c r="P504" s="9" t="n"/>
      <c r="Q504" s="9" t="n"/>
      <c r="R504" s="9" t="n"/>
    </row>
    <row r="505" ht="13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</row>
    <row r="506" ht="17.25" customHeight="1">
      <c r="A506" s="537" t="n"/>
      <c r="B506" s="537" t="n"/>
      <c r="C506" s="369" t="n"/>
      <c r="D506" s="9" t="n"/>
      <c r="E506" s="9" t="n"/>
      <c r="F506" s="432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</row>
    <row r="507" ht="17.25" customHeight="1">
      <c r="A507" s="9" t="n"/>
      <c r="B507" s="9" t="n"/>
      <c r="C507" s="9" t="n"/>
      <c r="D507" s="9" t="n"/>
      <c r="E507" s="9" t="n"/>
      <c r="F507" s="432" t="n"/>
      <c r="G507" s="9" t="n"/>
      <c r="H507" s="9" t="n"/>
      <c r="I507" s="9" t="n"/>
      <c r="J507" s="387" t="n"/>
      <c r="K507" s="9" t="n"/>
      <c r="L507" s="9" t="n"/>
      <c r="M507" s="9" t="n"/>
      <c r="N507" s="9" t="n"/>
      <c r="O507" s="9" t="n"/>
      <c r="P507" s="9" t="n"/>
      <c r="Q507" s="9" t="n"/>
      <c r="R507" s="9" t="n"/>
    </row>
    <row r="508" ht="17.25" customHeight="1">
      <c r="A508" s="9" t="n"/>
      <c r="B508" s="9" t="n"/>
      <c r="C508" s="369" t="n"/>
      <c r="D508" s="9" t="n"/>
      <c r="E508" s="9" t="n"/>
      <c r="F508" s="432" t="n"/>
      <c r="G508" s="387" t="n"/>
      <c r="H508" s="387" t="n"/>
      <c r="I508" s="387" t="n"/>
      <c r="J508" s="938" t="n"/>
      <c r="K508" s="387" t="n"/>
      <c r="L508" s="9" t="n"/>
      <c r="M508" s="9" t="n"/>
      <c r="N508" s="9" t="n"/>
      <c r="O508" s="9" t="n"/>
      <c r="P508" s="9" t="n"/>
      <c r="Q508" s="9" t="n"/>
      <c r="R508" s="9" t="n"/>
    </row>
    <row r="509" ht="17.25" customHeight="1">
      <c r="A509" s="9" t="n"/>
      <c r="B509" s="9" t="n"/>
      <c r="C509" s="369" t="n"/>
      <c r="D509" s="9" t="n"/>
      <c r="E509" s="9" t="n"/>
      <c r="F509" s="432" t="n"/>
      <c r="G509" s="938" t="n"/>
      <c r="H509" s="938" t="n"/>
      <c r="I509" s="938" t="n"/>
      <c r="J509" s="9" t="n"/>
      <c r="K509" s="938" t="n"/>
      <c r="L509" s="9" t="n"/>
      <c r="M509" s="9" t="n"/>
      <c r="N509" s="9" t="n"/>
      <c r="O509" s="9" t="n"/>
      <c r="P509" s="9" t="n"/>
      <c r="Q509" s="9" t="n"/>
      <c r="R509" s="9" t="n"/>
    </row>
    <row r="510" ht="17.25" customHeight="1">
      <c r="A510" s="9" t="n"/>
      <c r="B510" s="9" t="n"/>
      <c r="C510" s="9" t="n"/>
      <c r="D510" s="9" t="n"/>
      <c r="E510" s="9" t="n"/>
      <c r="F510" s="432" t="n"/>
      <c r="G510" s="9" t="n"/>
      <c r="H510" s="9" t="n"/>
      <c r="I510" s="9" t="n"/>
      <c r="J510" s="945" t="n"/>
      <c r="K510" s="9" t="n"/>
      <c r="L510" s="9" t="n"/>
      <c r="M510" s="9" t="n"/>
      <c r="N510" s="9" t="n"/>
      <c r="O510" s="9" t="n"/>
      <c r="P510" s="9" t="n"/>
      <c r="Q510" s="9" t="n"/>
      <c r="R510" s="9" t="n"/>
    </row>
    <row r="511" ht="17.25" customHeight="1">
      <c r="A511" s="9" t="n"/>
      <c r="B511" s="9" t="n"/>
      <c r="C511" s="369" t="n"/>
      <c r="D511" s="9" t="n"/>
      <c r="E511" s="9" t="n"/>
      <c r="F511" s="432" t="n"/>
      <c r="G511" s="945" t="n"/>
      <c r="H511" s="945" t="n"/>
      <c r="I511" s="945" t="n"/>
      <c r="J511" s="938" t="n"/>
      <c r="K511" s="945" t="n"/>
      <c r="L511" s="9" t="n"/>
      <c r="M511" s="9" t="n"/>
      <c r="N511" s="9" t="n"/>
      <c r="O511" s="9" t="n"/>
      <c r="P511" s="9" t="n"/>
      <c r="Q511" s="9" t="n"/>
      <c r="R511" s="9" t="n"/>
    </row>
    <row r="512" ht="17.25" customHeight="1">
      <c r="A512" s="9" t="n"/>
      <c r="B512" s="9" t="n"/>
      <c r="C512" s="9" t="n"/>
      <c r="D512" s="9" t="n"/>
      <c r="E512" s="9" t="n"/>
      <c r="F512" s="432" t="n"/>
      <c r="G512" s="938" t="n"/>
      <c r="H512" s="938" t="n"/>
      <c r="I512" s="938" t="n"/>
      <c r="J512" s="9" t="n"/>
      <c r="K512" s="938" t="n"/>
      <c r="L512" s="9" t="n"/>
      <c r="M512" s="9" t="n"/>
      <c r="N512" s="9" t="n"/>
      <c r="O512" s="9" t="n"/>
      <c r="P512" s="9" t="n"/>
      <c r="Q512" s="9" t="n"/>
      <c r="R512" s="9" t="n"/>
    </row>
    <row r="513" ht="17.25" customHeight="1">
      <c r="A513" s="9" t="n"/>
      <c r="B513" s="9" t="n"/>
      <c r="C513" s="369" t="n"/>
      <c r="D513" s="9" t="n"/>
      <c r="E513" s="9" t="n"/>
      <c r="F513" s="432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</row>
    <row r="514" ht="17.25" customHeight="1">
      <c r="A514" s="9" t="n"/>
      <c r="B514" s="9" t="n"/>
      <c r="C514" s="9" t="n"/>
      <c r="D514" s="9" t="n"/>
      <c r="E514" s="9" t="n"/>
      <c r="F514" s="432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</row>
    <row r="515" ht="17.25" customHeight="1">
      <c r="A515" s="9" t="n"/>
      <c r="B515" s="190" t="n"/>
      <c r="C515" s="369" t="n"/>
      <c r="D515" s="9" t="n"/>
      <c r="E515" s="9" t="n"/>
      <c r="F515" s="432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</row>
    <row r="516" ht="17.25" customHeight="1">
      <c r="A516" s="9" t="n"/>
      <c r="B516" s="9" t="n"/>
      <c r="C516" s="369" t="n"/>
      <c r="D516" s="9" t="n"/>
      <c r="E516" s="9" t="n"/>
      <c r="F516" s="432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</row>
    <row r="517" ht="17.25" customHeight="1">
      <c r="A517" s="9" t="n"/>
      <c r="B517" s="538" t="n"/>
      <c r="C517" s="369" t="n"/>
      <c r="D517" s="9" t="n"/>
      <c r="E517" s="9" t="n"/>
      <c r="F517" s="432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</row>
    <row r="518" ht="17.25" customHeight="1">
      <c r="A518" s="9" t="n"/>
      <c r="B518" s="9" t="n"/>
      <c r="C518" s="9" t="n"/>
      <c r="D518" s="9" t="n"/>
      <c r="E518" s="9" t="n"/>
      <c r="F518" s="432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</row>
    <row r="519" ht="17.25" customHeight="1">
      <c r="A519" s="9" t="n"/>
      <c r="B519" s="9" t="n"/>
      <c r="C519" s="369" t="n"/>
      <c r="D519" s="9" t="n"/>
      <c r="E519" s="9" t="n"/>
      <c r="F519" s="432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</row>
    <row r="520" ht="17.25" customHeight="1">
      <c r="A520" s="9" t="n"/>
      <c r="B520" s="9" t="n"/>
      <c r="C520" s="9" t="n"/>
      <c r="D520" s="9" t="n"/>
      <c r="E520" s="9" t="n"/>
      <c r="F520" s="432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</row>
    <row r="521" ht="17.25" customHeight="1">
      <c r="A521" s="9" t="n"/>
      <c r="B521" s="9" t="n"/>
      <c r="C521" s="369" t="n"/>
      <c r="D521" s="9" t="n"/>
      <c r="E521" s="9" t="n"/>
      <c r="F521" s="432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</row>
    <row r="522" ht="17.25" customHeight="1">
      <c r="A522" s="9" t="n"/>
      <c r="B522" s="9" t="n"/>
      <c r="C522" s="9" t="n"/>
      <c r="D522" s="9" t="n"/>
      <c r="E522" s="9" t="n"/>
      <c r="F522" s="432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</row>
    <row r="523" ht="17.25" customHeight="1">
      <c r="A523" s="9" t="n"/>
      <c r="B523" s="9" t="n"/>
      <c r="C523" s="369" t="n"/>
      <c r="D523" s="9" t="n"/>
      <c r="E523" s="9" t="n"/>
      <c r="F523" s="432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</row>
    <row r="524" ht="17.25" customHeight="1">
      <c r="A524" s="9" t="n"/>
      <c r="B524" s="9" t="n"/>
      <c r="C524" s="369" t="n"/>
      <c r="D524" s="9" t="n"/>
      <c r="E524" s="9" t="n"/>
      <c r="F524" s="432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</row>
    <row r="525" ht="17.25" customHeight="1">
      <c r="A525" s="9" t="n"/>
      <c r="B525" s="9" t="n"/>
      <c r="C525" s="369" t="n"/>
      <c r="D525" s="9" t="n"/>
      <c r="E525" s="9" t="n"/>
      <c r="F525" s="432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</row>
    <row r="526" ht="17.25" customHeight="1">
      <c r="A526" s="9" t="n"/>
      <c r="B526" s="9" t="n"/>
      <c r="C526" s="369" t="n"/>
      <c r="D526" s="9" t="n"/>
      <c r="E526" s="9" t="n"/>
      <c r="F526" s="432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</row>
    <row r="527" ht="17.25" customHeight="1">
      <c r="A527" s="9" t="n"/>
      <c r="B527" s="9" t="n"/>
      <c r="C527" s="369" t="n"/>
      <c r="D527" s="9" t="n"/>
      <c r="E527" s="9" t="n"/>
      <c r="F527" s="432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</row>
    <row r="528" ht="17.25" customHeight="1">
      <c r="A528" s="9" t="n"/>
      <c r="B528" s="9" t="n"/>
      <c r="C528" s="369" t="n"/>
      <c r="D528" s="9" t="n"/>
      <c r="E528" s="9" t="n"/>
      <c r="F528" s="432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</row>
    <row r="529" ht="17.25" customHeight="1">
      <c r="A529" s="9" t="n"/>
      <c r="B529" s="9" t="n"/>
      <c r="C529" s="369" t="n"/>
      <c r="D529" s="9" t="n"/>
      <c r="E529" s="9" t="n"/>
      <c r="F529" s="432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</row>
    <row r="530" ht="17.25" customHeight="1">
      <c r="A530" s="9" t="n"/>
      <c r="B530" s="9" t="n"/>
      <c r="C530" s="369" t="n"/>
      <c r="D530" s="9" t="n"/>
      <c r="E530" s="9" t="n"/>
      <c r="F530" s="432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</row>
    <row r="531" ht="17.25" customHeight="1">
      <c r="A531" s="9" t="n"/>
      <c r="B531" s="9" t="n"/>
      <c r="C531" s="369" t="n"/>
      <c r="D531" s="9" t="n"/>
      <c r="E531" s="9" t="n"/>
      <c r="F531" s="432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</row>
    <row r="532" ht="17.25" customHeight="1">
      <c r="A532" s="9" t="n"/>
      <c r="B532" s="9" t="n"/>
      <c r="C532" s="36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</row>
    <row r="533" ht="17.25" customHeight="1">
      <c r="A533" s="9" t="n"/>
      <c r="B533" s="9" t="n"/>
      <c r="C533" s="36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</row>
    <row r="534" ht="17.25" customHeight="1">
      <c r="A534" s="9" t="n"/>
      <c r="B534" s="9" t="n"/>
      <c r="C534" s="369" t="n"/>
      <c r="D534" s="9" t="n"/>
      <c r="E534" s="9" t="n"/>
      <c r="F534" s="9" t="n"/>
      <c r="G534" s="9" t="n"/>
      <c r="H534" s="9" t="n"/>
      <c r="I534" s="9" t="n"/>
      <c r="J534" s="369" t="n"/>
      <c r="K534" s="9" t="n"/>
      <c r="L534" s="9" t="n"/>
      <c r="M534" s="9" t="n"/>
      <c r="N534" s="9" t="n"/>
      <c r="O534" s="9" t="n"/>
      <c r="P534" s="9" t="n"/>
      <c r="Q534" s="9" t="n"/>
      <c r="R534" s="9" t="n"/>
    </row>
    <row r="535" ht="13.5" customHeight="1">
      <c r="A535" s="539" t="n"/>
      <c r="B535" s="9" t="n"/>
      <c r="C535" s="9" t="n"/>
      <c r="D535" s="9" t="n"/>
      <c r="E535" s="9" t="n"/>
      <c r="F535" s="369" t="n"/>
      <c r="G535" s="369" t="n"/>
      <c r="H535" s="369" t="n"/>
      <c r="I535" s="369" t="n"/>
      <c r="J535" s="369" t="n"/>
      <c r="K535" s="369" t="n"/>
      <c r="L535" s="9" t="n"/>
      <c r="M535" s="9" t="n"/>
      <c r="N535" s="9" t="n"/>
      <c r="O535" s="9" t="n"/>
      <c r="P535" s="9" t="n"/>
      <c r="Q535" s="9" t="n"/>
      <c r="R535" s="9" t="n"/>
    </row>
    <row r="536" ht="13.5" customHeight="1">
      <c r="A536" s="9" t="n"/>
      <c r="B536" s="9" t="n"/>
      <c r="C536" s="9" t="n"/>
      <c r="D536" s="9" t="n"/>
      <c r="E536" s="9" t="n"/>
      <c r="F536" s="369" t="n"/>
      <c r="G536" s="369" t="n"/>
      <c r="H536" s="369" t="n"/>
      <c r="I536" s="369" t="n"/>
      <c r="J536" s="369" t="n"/>
      <c r="K536" s="369" t="n"/>
      <c r="L536" s="9" t="n"/>
      <c r="M536" s="9" t="n"/>
      <c r="N536" s="9" t="n"/>
      <c r="O536" s="9" t="n"/>
      <c r="P536" s="9" t="n"/>
      <c r="Q536" s="9" t="n"/>
      <c r="R536" s="9" t="n"/>
    </row>
    <row r="537" ht="13.5" customHeight="1">
      <c r="A537" s="9" t="n"/>
      <c r="B537" s="9" t="n"/>
      <c r="C537" s="9" t="n"/>
      <c r="D537" s="9" t="n"/>
      <c r="E537" s="9" t="n"/>
      <c r="F537" s="369" t="n"/>
      <c r="G537" s="369" t="n"/>
      <c r="H537" s="369" t="n"/>
      <c r="I537" s="369" t="n"/>
      <c r="J537" s="9" t="n"/>
      <c r="K537" s="369" t="n"/>
      <c r="L537" s="9" t="n"/>
      <c r="M537" s="9" t="n"/>
      <c r="N537" s="9" t="n"/>
      <c r="O537" s="9" t="n"/>
      <c r="P537" s="9" t="n"/>
      <c r="Q537" s="9" t="n"/>
      <c r="R537" s="9" t="n"/>
    </row>
    <row r="538" ht="21" customHeight="1">
      <c r="A538" s="536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</row>
    <row r="539" ht="13.5" customHeight="1">
      <c r="A539" s="369" t="n"/>
      <c r="B539" s="345" t="n"/>
      <c r="C539" s="9" t="n"/>
      <c r="D539" s="345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</row>
    <row r="540" ht="13.5" customHeight="1">
      <c r="A540" s="9" t="n"/>
      <c r="B540" s="9" t="n"/>
      <c r="C540" s="9" t="n"/>
      <c r="D540" s="345" t="n"/>
      <c r="E540" s="9" t="n"/>
      <c r="F540" s="9" t="n"/>
      <c r="G540" s="9" t="n"/>
      <c r="H540" s="9" t="n"/>
      <c r="I540" s="9" t="n"/>
      <c r="J540" s="345" t="n"/>
      <c r="K540" s="9" t="n"/>
      <c r="L540" s="9" t="n"/>
      <c r="M540" s="9" t="n"/>
      <c r="N540" s="9" t="n"/>
      <c r="O540" s="9" t="n"/>
      <c r="P540" s="9" t="n"/>
      <c r="Q540" s="9" t="n"/>
      <c r="R540" s="9" t="n"/>
    </row>
    <row r="541" ht="16.5" customHeight="1">
      <c r="A541" s="537" t="n"/>
      <c r="B541" s="408" t="n"/>
      <c r="C541" s="9" t="n"/>
      <c r="D541" s="369" t="n"/>
      <c r="E541" s="9" t="n"/>
      <c r="F541" s="9" t="n"/>
      <c r="G541" s="345" t="n"/>
      <c r="H541" s="345" t="n"/>
      <c r="I541" s="345" t="n"/>
      <c r="J541" s="345" t="n"/>
      <c r="K541" s="345" t="n"/>
      <c r="L541" s="9" t="n"/>
      <c r="M541" s="9" t="n"/>
      <c r="N541" s="9" t="n"/>
      <c r="O541" s="9" t="n"/>
      <c r="P541" s="9" t="n"/>
      <c r="Q541" s="9" t="n"/>
      <c r="R541" s="9" t="n"/>
    </row>
    <row r="542" ht="16.5" customHeight="1">
      <c r="A542" s="9" t="n"/>
      <c r="B542" s="9" t="n"/>
      <c r="C542" s="9" t="n"/>
      <c r="D542" s="369" t="n"/>
      <c r="E542" s="9" t="n"/>
      <c r="F542" s="9" t="n"/>
      <c r="G542" s="345" t="n"/>
      <c r="H542" s="345" t="n"/>
      <c r="I542" s="345" t="n"/>
      <c r="J542" s="387" t="n"/>
      <c r="K542" s="345" t="n"/>
      <c r="L542" s="9" t="n"/>
      <c r="M542" s="9" t="n"/>
      <c r="N542" s="9" t="n"/>
      <c r="O542" s="9" t="n"/>
      <c r="P542" s="9" t="n"/>
      <c r="Q542" s="9" t="n"/>
      <c r="R542" s="9" t="n"/>
    </row>
    <row r="543" ht="16.5" customHeight="1">
      <c r="A543" s="9" t="n"/>
      <c r="B543" s="9" t="n"/>
      <c r="C543" s="9" t="n"/>
      <c r="D543" s="369" t="n"/>
      <c r="E543" s="9" t="n"/>
      <c r="F543" s="9" t="n"/>
      <c r="G543" s="387" t="n"/>
      <c r="H543" s="387" t="n"/>
      <c r="I543" s="387" t="n"/>
      <c r="J543" s="345" t="n"/>
      <c r="K543" s="387" t="n"/>
      <c r="L543" s="9" t="n"/>
      <c r="M543" s="9" t="n"/>
      <c r="N543" s="9" t="n"/>
      <c r="O543" s="9" t="n"/>
      <c r="P543" s="9" t="n"/>
      <c r="Q543" s="9" t="n"/>
      <c r="R543" s="9" t="n"/>
    </row>
    <row r="544" ht="16.5" customHeight="1">
      <c r="A544" s="9" t="n"/>
      <c r="B544" s="408" t="n"/>
      <c r="C544" s="9" t="n"/>
      <c r="D544" s="369" t="n"/>
      <c r="E544" s="9" t="n"/>
      <c r="F544" s="9" t="n"/>
      <c r="G544" s="345" t="n"/>
      <c r="H544" s="345" t="n"/>
      <c r="I544" s="345" t="n"/>
      <c r="J544" s="345" t="n"/>
      <c r="K544" s="345" t="n"/>
      <c r="L544" s="9" t="n"/>
      <c r="M544" s="9" t="n"/>
      <c r="N544" s="9" t="n"/>
      <c r="O544" s="9" t="n"/>
      <c r="P544" s="9" t="n"/>
      <c r="Q544" s="9" t="n"/>
      <c r="R544" s="9" t="n"/>
    </row>
    <row r="545" ht="16.5" customHeight="1">
      <c r="A545" s="9" t="n"/>
      <c r="B545" s="9" t="n"/>
      <c r="C545" s="9" t="n"/>
      <c r="D545" s="369" t="n"/>
      <c r="E545" s="9" t="n"/>
      <c r="F545" s="9" t="n"/>
      <c r="G545" s="345" t="n"/>
      <c r="H545" s="345" t="n"/>
      <c r="I545" s="345" t="n"/>
      <c r="J545" s="387" t="n"/>
      <c r="K545" s="345" t="n"/>
      <c r="L545" s="9" t="n"/>
      <c r="M545" s="9" t="n"/>
      <c r="N545" s="9" t="n"/>
      <c r="O545" s="9" t="n"/>
      <c r="P545" s="9" t="n"/>
      <c r="Q545" s="9" t="n"/>
      <c r="R545" s="9" t="n"/>
    </row>
    <row r="546" ht="16.5" customHeight="1">
      <c r="A546" s="9" t="n"/>
      <c r="B546" s="9" t="n"/>
      <c r="C546" s="9" t="n"/>
      <c r="D546" s="369" t="n"/>
      <c r="E546" s="9" t="n"/>
      <c r="F546" s="9" t="n"/>
      <c r="G546" s="387" t="n"/>
      <c r="H546" s="387" t="n"/>
      <c r="I546" s="387" t="n"/>
      <c r="J546" s="345" t="n"/>
      <c r="K546" s="387" t="n"/>
      <c r="L546" s="9" t="n"/>
      <c r="M546" s="9" t="n"/>
      <c r="N546" s="9" t="n"/>
      <c r="O546" s="9" t="n"/>
      <c r="P546" s="9" t="n"/>
      <c r="Q546" s="9" t="n"/>
      <c r="R546" s="9" t="n"/>
    </row>
    <row r="547" ht="16.5" customHeight="1">
      <c r="A547" s="9" t="n"/>
      <c r="B547" s="408" t="n"/>
      <c r="C547" s="9" t="n"/>
      <c r="D547" s="369" t="n"/>
      <c r="E547" s="9" t="n"/>
      <c r="F547" s="9" t="n"/>
      <c r="G547" s="345" t="n"/>
      <c r="H547" s="345" t="n"/>
      <c r="I547" s="345" t="n"/>
      <c r="J547" s="345" t="n"/>
      <c r="K547" s="345" t="n"/>
      <c r="L547" s="9" t="n"/>
      <c r="M547" s="9" t="n"/>
      <c r="N547" s="9" t="n"/>
      <c r="O547" s="9" t="n"/>
      <c r="P547" s="9" t="n"/>
      <c r="Q547" s="9" t="n"/>
      <c r="R547" s="9" t="n"/>
    </row>
    <row r="548" ht="16.5" customHeight="1">
      <c r="A548" s="9" t="n"/>
      <c r="B548" s="9" t="n"/>
      <c r="C548" s="9" t="n"/>
      <c r="D548" s="369" t="n"/>
      <c r="E548" s="9" t="n"/>
      <c r="F548" s="9" t="n"/>
      <c r="G548" s="345" t="n"/>
      <c r="H548" s="345" t="n"/>
      <c r="I548" s="345" t="n"/>
      <c r="J548" s="387" t="n"/>
      <c r="K548" s="345" t="n"/>
      <c r="L548" s="9" t="n"/>
      <c r="M548" s="9" t="n"/>
      <c r="N548" s="9" t="n"/>
      <c r="O548" s="9" t="n"/>
      <c r="P548" s="9" t="n"/>
      <c r="Q548" s="9" t="n"/>
      <c r="R548" s="9" t="n"/>
    </row>
    <row r="549" ht="16.5" customHeight="1">
      <c r="A549" s="9" t="n"/>
      <c r="B549" s="9" t="n"/>
      <c r="C549" s="9" t="n"/>
      <c r="D549" s="369" t="n"/>
      <c r="E549" s="9" t="n"/>
      <c r="F549" s="9" t="n"/>
      <c r="G549" s="387" t="n"/>
      <c r="H549" s="387" t="n"/>
      <c r="I549" s="387" t="n"/>
      <c r="J549" s="938" t="n"/>
      <c r="K549" s="387" t="n"/>
      <c r="L549" s="9" t="n"/>
      <c r="M549" s="9" t="n"/>
      <c r="N549" s="9" t="n"/>
      <c r="O549" s="9" t="n"/>
      <c r="P549" s="9" t="n"/>
      <c r="Q549" s="9" t="n"/>
      <c r="R549" s="9" t="n"/>
    </row>
    <row r="550" ht="16.5" customHeight="1">
      <c r="A550" s="9" t="n"/>
      <c r="B550" s="9" t="n"/>
      <c r="C550" s="9" t="n"/>
      <c r="D550" s="369" t="n"/>
      <c r="E550" s="9" t="n"/>
      <c r="F550" s="9" t="n"/>
      <c r="G550" s="938" t="n"/>
      <c r="H550" s="938" t="n"/>
      <c r="I550" s="938" t="n"/>
      <c r="J550" s="345" t="n"/>
      <c r="K550" s="938" t="n"/>
      <c r="L550" s="9" t="n"/>
      <c r="M550" s="9" t="n"/>
      <c r="N550" s="9" t="n"/>
      <c r="O550" s="9" t="n"/>
      <c r="P550" s="9" t="n"/>
      <c r="Q550" s="9" t="n"/>
      <c r="R550" s="9" t="n"/>
    </row>
    <row r="551" ht="16.5" customHeight="1">
      <c r="A551" s="9" t="n"/>
      <c r="B551" s="408" t="n"/>
      <c r="C551" s="9" t="n"/>
      <c r="D551" s="369" t="n"/>
      <c r="E551" s="9" t="n"/>
      <c r="F551" s="9" t="n"/>
      <c r="G551" s="345" t="n"/>
      <c r="H551" s="345" t="n"/>
      <c r="I551" s="345" t="n"/>
      <c r="J551" s="345" t="n"/>
      <c r="K551" s="345" t="n"/>
      <c r="L551" s="9" t="n"/>
      <c r="M551" s="9" t="n"/>
      <c r="N551" s="9" t="n"/>
      <c r="O551" s="9" t="n"/>
      <c r="P551" s="9" t="n"/>
      <c r="Q551" s="9" t="n"/>
      <c r="R551" s="9" t="n"/>
    </row>
    <row r="552" ht="16.5" customHeight="1">
      <c r="A552" s="9" t="n"/>
      <c r="B552" s="9" t="n"/>
      <c r="C552" s="9" t="n"/>
      <c r="D552" s="369" t="n"/>
      <c r="E552" s="9" t="n"/>
      <c r="F552" s="9" t="n"/>
      <c r="G552" s="345" t="n"/>
      <c r="H552" s="345" t="n"/>
      <c r="I552" s="345" t="n"/>
      <c r="J552" s="387" t="n"/>
      <c r="K552" s="345" t="n"/>
      <c r="L552" s="9" t="n"/>
      <c r="M552" s="9" t="n"/>
      <c r="N552" s="9" t="n"/>
      <c r="O552" s="9" t="n"/>
      <c r="P552" s="9" t="n"/>
      <c r="Q552" s="9" t="n"/>
      <c r="R552" s="9" t="n"/>
    </row>
    <row r="553" ht="16.5" customHeight="1">
      <c r="A553" s="9" t="n"/>
      <c r="B553" s="9" t="n"/>
      <c r="C553" s="9" t="n"/>
      <c r="D553" s="369" t="n"/>
      <c r="E553" s="9" t="n"/>
      <c r="F553" s="9" t="n"/>
      <c r="G553" s="387" t="n"/>
      <c r="H553" s="387" t="n"/>
      <c r="I553" s="387" t="n"/>
      <c r="J553" s="938" t="n"/>
      <c r="K553" s="387" t="n"/>
      <c r="L553" s="9" t="n"/>
      <c r="M553" s="9" t="n"/>
      <c r="N553" s="9" t="n"/>
      <c r="O553" s="9" t="n"/>
      <c r="P553" s="9" t="n"/>
      <c r="Q553" s="9" t="n"/>
      <c r="R553" s="9" t="n"/>
    </row>
    <row r="554" ht="16.5" customHeight="1">
      <c r="A554" s="9" t="n"/>
      <c r="B554" s="9" t="n"/>
      <c r="C554" s="9" t="n"/>
      <c r="D554" s="369" t="n"/>
      <c r="E554" s="9" t="n"/>
      <c r="F554" s="9" t="n"/>
      <c r="G554" s="938" t="n"/>
      <c r="H554" s="938" t="n"/>
      <c r="I554" s="938" t="n"/>
      <c r="J554" s="345" t="n"/>
      <c r="K554" s="938" t="n"/>
      <c r="L554" s="9" t="n"/>
      <c r="M554" s="9" t="n"/>
      <c r="N554" s="9" t="n"/>
      <c r="O554" s="9" t="n"/>
      <c r="P554" s="9" t="n"/>
      <c r="Q554" s="9" t="n"/>
      <c r="R554" s="9" t="n"/>
    </row>
    <row r="555" ht="16.5" customHeight="1">
      <c r="A555" s="9" t="n"/>
      <c r="B555" s="408" t="n"/>
      <c r="C555" s="9" t="n"/>
      <c r="D555" s="369" t="n"/>
      <c r="E555" s="9" t="n"/>
      <c r="F555" s="9" t="n"/>
      <c r="G555" s="345" t="n"/>
      <c r="H555" s="345" t="n"/>
      <c r="I555" s="345" t="n"/>
      <c r="J555" s="345" t="n"/>
      <c r="K555" s="345" t="n"/>
      <c r="L555" s="9" t="n"/>
      <c r="M555" s="9" t="n"/>
      <c r="N555" s="9" t="n"/>
      <c r="O555" s="9" t="n"/>
      <c r="P555" s="9" t="n"/>
      <c r="Q555" s="9" t="n"/>
      <c r="R555" s="9" t="n"/>
    </row>
    <row r="556" ht="16.5" customHeight="1">
      <c r="A556" s="9" t="n"/>
      <c r="B556" s="9" t="n"/>
      <c r="C556" s="9" t="n"/>
      <c r="D556" s="369" t="n"/>
      <c r="E556" s="9" t="n"/>
      <c r="F556" s="9" t="n"/>
      <c r="G556" s="345" t="n"/>
      <c r="H556" s="345" t="n"/>
      <c r="I556" s="345" t="n"/>
      <c r="J556" s="387" t="n"/>
      <c r="K556" s="345" t="n"/>
      <c r="L556" s="9" t="n"/>
      <c r="M556" s="9" t="n"/>
      <c r="N556" s="9" t="n"/>
      <c r="O556" s="9" t="n"/>
      <c r="P556" s="9" t="n"/>
      <c r="Q556" s="9" t="n"/>
      <c r="R556" s="9" t="n"/>
    </row>
    <row r="557" ht="16.5" customHeight="1">
      <c r="A557" s="9" t="n"/>
      <c r="B557" s="9" t="n"/>
      <c r="C557" s="9" t="n"/>
      <c r="D557" s="409" t="n"/>
      <c r="E557" s="9" t="n"/>
      <c r="F557" s="9" t="n"/>
      <c r="G557" s="387" t="n"/>
      <c r="H557" s="387" t="n"/>
      <c r="I557" s="387" t="n"/>
      <c r="J557" s="387" t="n"/>
      <c r="K557" s="387" t="n"/>
      <c r="L557" s="9" t="n"/>
      <c r="M557" s="9" t="n"/>
      <c r="N557" s="9" t="n"/>
      <c r="O557" s="9" t="n"/>
      <c r="P557" s="9" t="n"/>
      <c r="Q557" s="9" t="n"/>
      <c r="R557" s="9" t="n"/>
    </row>
    <row r="558" ht="16.5" customHeight="1">
      <c r="A558" s="9" t="n"/>
      <c r="B558" s="9" t="n"/>
      <c r="C558" s="9" t="n"/>
      <c r="D558" s="409" t="n"/>
      <c r="E558" s="9" t="n"/>
      <c r="F558" s="9" t="n"/>
      <c r="G558" s="387" t="n"/>
      <c r="H558" s="387" t="n"/>
      <c r="I558" s="387" t="n"/>
      <c r="J558" s="345" t="n"/>
      <c r="K558" s="387" t="n"/>
      <c r="L558" s="9" t="n"/>
      <c r="M558" s="9" t="n"/>
      <c r="N558" s="9" t="n"/>
      <c r="O558" s="9" t="n"/>
      <c r="P558" s="9" t="n"/>
      <c r="Q558" s="9" t="n"/>
      <c r="R558" s="9" t="n"/>
    </row>
    <row r="559" ht="16.5" customHeight="1">
      <c r="A559" s="9" t="n"/>
      <c r="B559" s="369" t="n"/>
      <c r="C559" s="9" t="n"/>
      <c r="D559" s="369" t="n"/>
      <c r="E559" s="9" t="n"/>
      <c r="F559" s="9" t="n"/>
      <c r="G559" s="345" t="n"/>
      <c r="H559" s="345" t="n"/>
      <c r="I559" s="345" t="n"/>
      <c r="J559" s="345" t="n"/>
      <c r="K559" s="345" t="n"/>
      <c r="L559" s="9" t="n"/>
      <c r="M559" s="9" t="n"/>
      <c r="N559" s="9" t="n"/>
      <c r="O559" s="9" t="n"/>
      <c r="P559" s="9" t="n"/>
      <c r="Q559" s="9" t="n"/>
      <c r="R559" s="9" t="n"/>
    </row>
    <row r="560" ht="16.5" customHeight="1">
      <c r="A560" s="9" t="n"/>
      <c r="B560" s="9" t="n"/>
      <c r="C560" s="9" t="n"/>
      <c r="D560" s="369" t="n"/>
      <c r="E560" s="9" t="n"/>
      <c r="F560" s="9" t="n"/>
      <c r="G560" s="345" t="n"/>
      <c r="H560" s="345" t="n"/>
      <c r="I560" s="345" t="n"/>
      <c r="J560" s="387" t="n"/>
      <c r="K560" s="345" t="n"/>
      <c r="L560" s="9" t="n"/>
      <c r="M560" s="9" t="n"/>
      <c r="N560" s="9" t="n"/>
      <c r="O560" s="9" t="n"/>
      <c r="P560" s="9" t="n"/>
      <c r="Q560" s="9" t="n"/>
      <c r="R560" s="9" t="n"/>
    </row>
    <row r="561" ht="16.5" customHeight="1">
      <c r="A561" s="9" t="n"/>
      <c r="B561" s="9" t="n"/>
      <c r="C561" s="9" t="n"/>
      <c r="D561" s="369" t="n"/>
      <c r="E561" s="9" t="n"/>
      <c r="F561" s="9" t="n"/>
      <c r="G561" s="387" t="n"/>
      <c r="H561" s="387" t="n"/>
      <c r="I561" s="387" t="n"/>
      <c r="J561" s="938" t="n"/>
      <c r="K561" s="387" t="n"/>
      <c r="L561" s="9" t="n"/>
      <c r="M561" s="9" t="n"/>
      <c r="N561" s="9" t="n"/>
      <c r="O561" s="9" t="n"/>
      <c r="P561" s="9" t="n"/>
      <c r="Q561" s="9" t="n"/>
      <c r="R561" s="9" t="n"/>
    </row>
    <row r="562" ht="16.5" customHeight="1">
      <c r="A562" s="9" t="n"/>
      <c r="B562" s="9" t="n"/>
      <c r="C562" s="9" t="n"/>
      <c r="D562" s="369" t="n"/>
      <c r="E562" s="9" t="n"/>
      <c r="F562" s="9" t="n"/>
      <c r="G562" s="938" t="n"/>
      <c r="H562" s="938" t="n"/>
      <c r="I562" s="938" t="n"/>
      <c r="J562" s="345" t="n"/>
      <c r="K562" s="938" t="n"/>
      <c r="L562" s="9" t="n"/>
      <c r="M562" s="9" t="n"/>
      <c r="N562" s="9" t="n"/>
      <c r="O562" s="9" t="n"/>
      <c r="P562" s="9" t="n"/>
      <c r="Q562" s="9" t="n"/>
      <c r="R562" s="9" t="n"/>
    </row>
    <row r="563" ht="16.5" customHeight="1">
      <c r="A563" s="9" t="n"/>
      <c r="B563" s="540" t="n"/>
      <c r="C563" s="9" t="n"/>
      <c r="D563" s="369" t="n"/>
      <c r="E563" s="9" t="n"/>
      <c r="F563" s="9" t="n"/>
      <c r="G563" s="345" t="n"/>
      <c r="H563" s="345" t="n"/>
      <c r="I563" s="345" t="n"/>
      <c r="J563" s="345" t="n"/>
      <c r="K563" s="345" t="n"/>
      <c r="L563" s="9" t="n"/>
      <c r="M563" s="9" t="n"/>
      <c r="N563" s="9" t="n"/>
      <c r="O563" s="9" t="n"/>
      <c r="P563" s="9" t="n"/>
      <c r="Q563" s="9" t="n"/>
      <c r="R563" s="9" t="n"/>
    </row>
    <row r="564" ht="16.5" customHeight="1">
      <c r="A564" s="9" t="n"/>
      <c r="B564" s="9" t="n"/>
      <c r="C564" s="9" t="n"/>
      <c r="D564" s="369" t="n"/>
      <c r="E564" s="9" t="n"/>
      <c r="F564" s="9" t="n"/>
      <c r="G564" s="345" t="n"/>
      <c r="H564" s="345" t="n"/>
      <c r="I564" s="345" t="n"/>
      <c r="J564" s="387" t="n"/>
      <c r="K564" s="345" t="n"/>
      <c r="L564" s="9" t="n"/>
      <c r="M564" s="9" t="n"/>
      <c r="N564" s="9" t="n"/>
      <c r="O564" s="9" t="n"/>
      <c r="P564" s="9" t="n"/>
      <c r="Q564" s="9" t="n"/>
      <c r="R564" s="9" t="n"/>
    </row>
    <row r="565" ht="16.5" customHeight="1">
      <c r="A565" s="9" t="n"/>
      <c r="B565" s="541" t="n"/>
      <c r="C565" s="9" t="n"/>
      <c r="D565" s="369" t="n"/>
      <c r="E565" s="9" t="n"/>
      <c r="F565" s="9" t="n"/>
      <c r="G565" s="387" t="n"/>
      <c r="H565" s="387" t="n"/>
      <c r="I565" s="387" t="n"/>
      <c r="J565" s="938" t="n"/>
      <c r="K565" s="387" t="n"/>
      <c r="L565" s="9" t="n"/>
      <c r="M565" s="9" t="n"/>
      <c r="N565" s="9" t="n"/>
      <c r="O565" s="9" t="n"/>
      <c r="P565" s="9" t="n"/>
      <c r="Q565" s="9" t="n"/>
      <c r="R565" s="9" t="n"/>
    </row>
    <row r="566" ht="16.5" customHeight="1">
      <c r="A566" s="537" t="n"/>
      <c r="B566" s="9" t="n"/>
      <c r="C566" s="9" t="n"/>
      <c r="D566" s="369" t="n"/>
      <c r="E566" s="9" t="n"/>
      <c r="F566" s="9" t="n"/>
      <c r="G566" s="938" t="n"/>
      <c r="H566" s="938" t="n"/>
      <c r="I566" s="938" t="n"/>
      <c r="J566" s="542" t="n"/>
      <c r="K566" s="938" t="n"/>
      <c r="L566" s="9" t="n"/>
      <c r="M566" s="9" t="n"/>
      <c r="N566" s="9" t="n"/>
      <c r="O566" s="9" t="n"/>
      <c r="P566" s="9" t="n"/>
      <c r="Q566" s="9" t="n"/>
      <c r="R566" s="9" t="n"/>
    </row>
    <row r="567" ht="13.5" customHeight="1">
      <c r="A567" s="539" t="n"/>
      <c r="B567" s="408" t="n"/>
      <c r="C567" s="542" t="n"/>
      <c r="D567" s="542" t="n"/>
      <c r="E567" s="542" t="n"/>
      <c r="F567" s="542" t="n"/>
      <c r="G567" s="542" t="n"/>
      <c r="H567" s="542" t="n"/>
      <c r="I567" s="542" t="n"/>
      <c r="J567" s="542" t="n"/>
      <c r="K567" s="542" t="n"/>
      <c r="L567" s="9" t="n"/>
      <c r="M567" s="9" t="n"/>
      <c r="N567" s="9" t="n"/>
      <c r="O567" s="9" t="n"/>
      <c r="P567" s="9" t="n"/>
      <c r="Q567" s="9" t="n"/>
      <c r="R567" s="9" t="n"/>
    </row>
    <row r="568" ht="94.5" customHeight="1">
      <c r="A568" s="9" t="n"/>
      <c r="B568" s="542" t="n"/>
      <c r="C568" s="542" t="n"/>
      <c r="D568" s="542" t="n"/>
      <c r="E568" s="542" t="n"/>
      <c r="F568" s="542" t="n"/>
      <c r="G568" s="542" t="n"/>
      <c r="H568" s="542" t="n"/>
      <c r="I568" s="542" t="n"/>
      <c r="J568" s="9" t="n"/>
      <c r="K568" s="542" t="n"/>
      <c r="L568" s="9" t="n"/>
      <c r="M568" s="9" t="n"/>
      <c r="N568" s="9" t="n"/>
      <c r="O568" s="9" t="n"/>
      <c r="P568" s="9" t="n"/>
      <c r="Q568" s="9" t="n"/>
      <c r="R568" s="9" t="n"/>
    </row>
    <row r="569" ht="21" customHeight="1">
      <c r="A569" s="536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</row>
    <row r="570" ht="13.5" customHeight="1">
      <c r="A570" s="369" t="n"/>
      <c r="B570" s="345" t="n"/>
      <c r="C570" s="9" t="n"/>
      <c r="D570" s="345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</row>
    <row r="571" ht="13.5" customHeight="1">
      <c r="A571" s="9" t="n"/>
      <c r="B571" s="9" t="n"/>
      <c r="C571" s="9" t="n"/>
      <c r="D571" s="345" t="n"/>
      <c r="E571" s="9" t="n"/>
      <c r="F571" s="9" t="n"/>
      <c r="G571" s="9" t="n"/>
      <c r="H571" s="9" t="n"/>
      <c r="I571" s="9" t="n"/>
      <c r="J571" s="345" t="n"/>
      <c r="K571" s="9" t="n"/>
      <c r="L571" s="9" t="n"/>
      <c r="M571" s="9" t="n"/>
      <c r="N571" s="9" t="n"/>
      <c r="O571" s="9" t="n"/>
      <c r="P571" s="9" t="n"/>
      <c r="Q571" s="9" t="n"/>
      <c r="R571" s="9" t="n"/>
    </row>
    <row r="572" ht="16.5" customHeight="1">
      <c r="A572" s="538" t="n"/>
      <c r="B572" s="369" t="n"/>
      <c r="C572" s="9" t="n"/>
      <c r="D572" s="369" t="n"/>
      <c r="E572" s="9" t="n"/>
      <c r="F572" s="9" t="n"/>
      <c r="G572" s="345" t="n"/>
      <c r="H572" s="345" t="n"/>
      <c r="I572" s="345" t="n"/>
      <c r="J572" s="345" t="n"/>
      <c r="K572" s="345" t="n"/>
      <c r="L572" s="9" t="n"/>
      <c r="M572" s="9" t="n"/>
      <c r="N572" s="9" t="n"/>
      <c r="O572" s="9" t="n"/>
      <c r="P572" s="9" t="n"/>
      <c r="Q572" s="9" t="n"/>
      <c r="R572" s="9" t="n"/>
    </row>
    <row r="573" ht="16.5" customHeight="1">
      <c r="A573" s="9" t="n"/>
      <c r="B573" s="9" t="n"/>
      <c r="C573" s="9" t="n"/>
      <c r="D573" s="369" t="n"/>
      <c r="E573" s="9" t="n"/>
      <c r="F573" s="9" t="n"/>
      <c r="G573" s="345" t="n"/>
      <c r="H573" s="345" t="n"/>
      <c r="I573" s="345" t="n"/>
      <c r="J573" s="387" t="n"/>
      <c r="K573" s="345" t="n"/>
      <c r="L573" s="9" t="n"/>
      <c r="M573" s="9" t="n"/>
      <c r="N573" s="9" t="n"/>
      <c r="O573" s="9" t="n"/>
      <c r="P573" s="9" t="n"/>
      <c r="Q573" s="9" t="n"/>
      <c r="R573" s="9" t="n"/>
    </row>
    <row r="574" ht="16.5" customHeight="1">
      <c r="A574" s="9" t="n"/>
      <c r="B574" s="9" t="n"/>
      <c r="C574" s="9" t="n"/>
      <c r="D574" s="369" t="n"/>
      <c r="E574" s="9" t="n"/>
      <c r="F574" s="9" t="n"/>
      <c r="G574" s="387" t="n"/>
      <c r="H574" s="387" t="n"/>
      <c r="I574" s="387" t="n"/>
      <c r="J574" s="387" t="n"/>
      <c r="K574" s="387" t="n"/>
      <c r="L574" s="9" t="n"/>
      <c r="M574" s="9" t="n"/>
      <c r="N574" s="9" t="n"/>
      <c r="O574" s="9" t="n"/>
      <c r="P574" s="9" t="n"/>
      <c r="Q574" s="9" t="n"/>
      <c r="R574" s="9" t="n"/>
    </row>
    <row r="575" ht="16.5" customHeight="1">
      <c r="A575" s="9" t="n"/>
      <c r="B575" s="9" t="n"/>
      <c r="C575" s="9" t="n"/>
      <c r="D575" s="369" t="n"/>
      <c r="E575" s="9" t="n"/>
      <c r="F575" s="9" t="n"/>
      <c r="G575" s="387" t="n"/>
      <c r="H575" s="387" t="n"/>
      <c r="I575" s="387" t="n"/>
      <c r="J575" s="345" t="n"/>
      <c r="K575" s="387" t="n"/>
      <c r="L575" s="9" t="n"/>
      <c r="M575" s="9" t="n"/>
      <c r="N575" s="9" t="n"/>
      <c r="O575" s="9" t="n"/>
      <c r="P575" s="9" t="n"/>
      <c r="Q575" s="9" t="n"/>
      <c r="R575" s="9" t="n"/>
    </row>
    <row r="576" ht="16.5" customHeight="1">
      <c r="A576" s="9" t="n"/>
      <c r="B576" s="408" t="n"/>
      <c r="C576" s="9" t="n"/>
      <c r="D576" s="9" t="n"/>
      <c r="E576" s="9" t="n"/>
      <c r="F576" s="9" t="n"/>
      <c r="G576" s="345" t="n"/>
      <c r="H576" s="345" t="n"/>
      <c r="I576" s="345" t="n"/>
      <c r="J576" s="345" t="n"/>
      <c r="K576" s="345" t="n"/>
      <c r="L576" s="9" t="n"/>
      <c r="M576" s="9" t="n"/>
      <c r="N576" s="9" t="n"/>
      <c r="O576" s="9" t="n"/>
      <c r="P576" s="9" t="n"/>
      <c r="Q576" s="9" t="n"/>
      <c r="R576" s="9" t="n"/>
    </row>
    <row r="577" ht="16.5" customHeight="1">
      <c r="A577" s="9" t="n"/>
      <c r="B577" s="9" t="n"/>
      <c r="C577" s="9" t="n"/>
      <c r="D577" s="9" t="n"/>
      <c r="E577" s="9" t="n"/>
      <c r="F577" s="9" t="n"/>
      <c r="G577" s="345" t="n"/>
      <c r="H577" s="345" t="n"/>
      <c r="I577" s="345" t="n"/>
      <c r="J577" s="387" t="n"/>
      <c r="K577" s="345" t="n"/>
      <c r="L577" s="9" t="n"/>
      <c r="M577" s="9" t="n"/>
      <c r="N577" s="9" t="n"/>
      <c r="O577" s="9" t="n"/>
      <c r="P577" s="9" t="n"/>
      <c r="Q577" s="9" t="n"/>
      <c r="R577" s="9" t="n"/>
    </row>
    <row r="578" ht="16.5" customHeight="1">
      <c r="A578" s="9" t="n"/>
      <c r="B578" s="9" t="n"/>
      <c r="C578" s="9" t="n"/>
      <c r="D578" s="9" t="n"/>
      <c r="E578" s="9" t="n"/>
      <c r="F578" s="9" t="n"/>
      <c r="G578" s="387" t="n"/>
      <c r="H578" s="387" t="n"/>
      <c r="I578" s="387" t="n"/>
      <c r="J578" s="345" t="n"/>
      <c r="K578" s="387" t="n"/>
      <c r="L578" s="9" t="n"/>
      <c r="M578" s="9" t="n"/>
      <c r="N578" s="9" t="n"/>
      <c r="O578" s="9" t="n"/>
      <c r="P578" s="9" t="n"/>
      <c r="Q578" s="9" t="n"/>
      <c r="R578" s="9" t="n"/>
    </row>
    <row r="579" ht="16.5" customHeight="1">
      <c r="A579" s="543" t="n"/>
      <c r="B579" s="369" t="n"/>
      <c r="C579" s="9" t="n"/>
      <c r="D579" s="369" t="n"/>
      <c r="E579" s="9" t="n"/>
      <c r="F579" s="9" t="n"/>
      <c r="G579" s="345" t="n"/>
      <c r="H579" s="345" t="n"/>
      <c r="I579" s="345" t="n"/>
      <c r="J579" s="345" t="n"/>
      <c r="K579" s="345" t="n"/>
      <c r="L579" s="9" t="n"/>
      <c r="M579" s="9" t="n"/>
      <c r="N579" s="9" t="n"/>
      <c r="O579" s="9" t="n"/>
      <c r="P579" s="9" t="n"/>
      <c r="Q579" s="9" t="n"/>
      <c r="R579" s="9" t="n"/>
    </row>
    <row r="580" ht="16.5" customHeight="1">
      <c r="A580" s="9" t="n"/>
      <c r="B580" s="369" t="n"/>
      <c r="C580" s="9" t="n"/>
      <c r="D580" s="369" t="n"/>
      <c r="E580" s="9" t="n"/>
      <c r="F580" s="9" t="n"/>
      <c r="G580" s="345" t="n"/>
      <c r="H580" s="345" t="n"/>
      <c r="I580" s="345" t="n"/>
      <c r="J580" s="345" t="n"/>
      <c r="K580" s="345" t="n"/>
      <c r="L580" s="9" t="n"/>
      <c r="M580" s="9" t="n"/>
      <c r="N580" s="9" t="n"/>
      <c r="O580" s="9" t="n"/>
      <c r="P580" s="9" t="n"/>
      <c r="Q580" s="9" t="n"/>
      <c r="R580" s="9" t="n"/>
    </row>
    <row r="581" ht="16.5" customHeight="1">
      <c r="A581" s="9" t="n"/>
      <c r="B581" s="369" t="n"/>
      <c r="C581" s="9" t="n"/>
      <c r="D581" s="369" t="n"/>
      <c r="E581" s="9" t="n"/>
      <c r="F581" s="9" t="n"/>
      <c r="G581" s="345" t="n"/>
      <c r="H581" s="345" t="n"/>
      <c r="I581" s="345" t="n"/>
      <c r="J581" s="9" t="n"/>
      <c r="K581" s="345" t="n"/>
      <c r="L581" s="9" t="n"/>
      <c r="M581" s="9" t="n"/>
      <c r="N581" s="9" t="n"/>
      <c r="O581" s="9" t="n"/>
      <c r="P581" s="9" t="n"/>
      <c r="Q581" s="9" t="n"/>
      <c r="R581" s="9" t="n"/>
    </row>
    <row r="582" ht="16.5" customHeight="1">
      <c r="A582" s="9" t="n"/>
      <c r="B582" s="9" t="n"/>
      <c r="C582" s="9" t="n"/>
      <c r="D582" s="369" t="n"/>
      <c r="E582" s="9" t="n"/>
      <c r="F582" s="9" t="n"/>
      <c r="G582" s="9" t="n"/>
      <c r="H582" s="9" t="n"/>
      <c r="I582" s="9" t="n"/>
      <c r="J582" s="345" t="n"/>
      <c r="K582" s="9" t="n"/>
      <c r="L582" s="9" t="n"/>
      <c r="M582" s="9" t="n"/>
      <c r="N582" s="9" t="n"/>
      <c r="O582" s="9" t="n"/>
      <c r="P582" s="9" t="n"/>
      <c r="Q582" s="9" t="n"/>
      <c r="R582" s="9" t="n"/>
    </row>
    <row r="583" ht="16.5" customHeight="1">
      <c r="A583" s="538" t="n"/>
      <c r="B583" s="369" t="n"/>
      <c r="C583" s="9" t="n"/>
      <c r="D583" s="369" t="n"/>
      <c r="E583" s="9" t="n"/>
      <c r="F583" s="9" t="n"/>
      <c r="G583" s="345" t="n"/>
      <c r="H583" s="345" t="n"/>
      <c r="I583" s="345" t="n"/>
      <c r="J583" s="9" t="n"/>
      <c r="K583" s="345" t="n"/>
      <c r="L583" s="9" t="n"/>
      <c r="M583" s="9" t="n"/>
      <c r="N583" s="9" t="n"/>
      <c r="O583" s="9" t="n"/>
      <c r="P583" s="9" t="n"/>
      <c r="Q583" s="9" t="n"/>
      <c r="R583" s="9" t="n"/>
    </row>
    <row r="584" ht="16.5" customHeight="1">
      <c r="A584" s="538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542" t="n"/>
      <c r="K584" s="9" t="n"/>
      <c r="L584" s="9" t="n"/>
      <c r="M584" s="9" t="n"/>
      <c r="N584" s="9" t="n"/>
      <c r="O584" s="9" t="n"/>
      <c r="P584" s="9" t="n"/>
      <c r="Q584" s="9" t="n"/>
      <c r="R584" s="9" t="n"/>
    </row>
    <row r="585" ht="16.5" customHeight="1">
      <c r="A585" s="538" t="n"/>
      <c r="B585" s="408" t="n"/>
      <c r="C585" s="542" t="n"/>
      <c r="D585" s="542" t="n"/>
      <c r="E585" s="542" t="n"/>
      <c r="F585" s="542" t="n"/>
      <c r="G585" s="542" t="n"/>
      <c r="H585" s="542" t="n"/>
      <c r="I585" s="542" t="n"/>
      <c r="J585" s="542" t="n"/>
      <c r="K585" s="542" t="n"/>
      <c r="L585" s="9" t="n"/>
      <c r="M585" s="9" t="n"/>
      <c r="N585" s="9" t="n"/>
      <c r="O585" s="9" t="n"/>
      <c r="P585" s="9" t="n"/>
      <c r="Q585" s="9" t="n"/>
      <c r="R585" s="9" t="n"/>
    </row>
    <row r="586" ht="16.5" customHeight="1">
      <c r="A586" s="9" t="n"/>
      <c r="B586" s="542" t="n"/>
      <c r="C586" s="542" t="n"/>
      <c r="D586" s="542" t="n"/>
      <c r="E586" s="542" t="n"/>
      <c r="F586" s="542" t="n"/>
      <c r="G586" s="542" t="n"/>
      <c r="H586" s="542" t="n"/>
      <c r="I586" s="542" t="n"/>
      <c r="J586" s="542" t="n"/>
      <c r="K586" s="542" t="n"/>
      <c r="L586" s="9" t="n"/>
      <c r="M586" s="9" t="n"/>
      <c r="N586" s="9" t="n"/>
      <c r="O586" s="9" t="n"/>
      <c r="P586" s="9" t="n"/>
      <c r="Q586" s="9" t="n"/>
      <c r="R586" s="9" t="n"/>
    </row>
    <row r="587" ht="16.5" customHeight="1">
      <c r="A587" s="9" t="n"/>
      <c r="B587" s="542" t="n"/>
      <c r="C587" s="542" t="n"/>
      <c r="D587" s="542" t="n"/>
      <c r="E587" s="542" t="n"/>
      <c r="F587" s="542" t="n"/>
      <c r="G587" s="542" t="n"/>
      <c r="H587" s="542" t="n"/>
      <c r="I587" s="542" t="n"/>
      <c r="J587" s="542" t="n"/>
      <c r="K587" s="542" t="n"/>
      <c r="L587" s="9" t="n"/>
      <c r="M587" s="9" t="n"/>
      <c r="N587" s="9" t="n"/>
      <c r="O587" s="9" t="n"/>
      <c r="P587" s="9" t="n"/>
      <c r="Q587" s="9" t="n"/>
      <c r="R587" s="9" t="n"/>
    </row>
    <row r="588" ht="16.5" customHeight="1">
      <c r="A588" s="9" t="n"/>
      <c r="B588" s="542" t="n"/>
      <c r="C588" s="542" t="n"/>
      <c r="D588" s="542" t="n"/>
      <c r="E588" s="542" t="n"/>
      <c r="F588" s="542" t="n"/>
      <c r="G588" s="542" t="n"/>
      <c r="H588" s="542" t="n"/>
      <c r="I588" s="542" t="n"/>
      <c r="J588" s="542" t="n"/>
      <c r="K588" s="542" t="n"/>
      <c r="L588" s="9" t="n"/>
      <c r="M588" s="9" t="n"/>
      <c r="N588" s="9" t="n"/>
      <c r="O588" s="9" t="n"/>
      <c r="P588" s="9" t="n"/>
      <c r="Q588" s="9" t="n"/>
      <c r="R588" s="9" t="n"/>
    </row>
    <row r="589" ht="16.5" customHeight="1">
      <c r="A589" s="9" t="n"/>
      <c r="B589" s="542" t="n"/>
      <c r="C589" s="542" t="n"/>
      <c r="D589" s="542" t="n"/>
      <c r="E589" s="542" t="n"/>
      <c r="F589" s="542" t="n"/>
      <c r="G589" s="542" t="n"/>
      <c r="H589" s="542" t="n"/>
      <c r="I589" s="542" t="n"/>
      <c r="J589" s="542" t="n"/>
      <c r="K589" s="542" t="n"/>
      <c r="L589" s="9" t="n"/>
      <c r="M589" s="9" t="n"/>
      <c r="N589" s="9" t="n"/>
      <c r="O589" s="9" t="n"/>
      <c r="P589" s="9" t="n"/>
      <c r="Q589" s="9" t="n"/>
      <c r="R589" s="9" t="n"/>
    </row>
    <row r="590" ht="16.5" customHeight="1">
      <c r="A590" s="9" t="n"/>
      <c r="B590" s="542" t="n"/>
      <c r="C590" s="542" t="n"/>
      <c r="D590" s="542" t="n"/>
      <c r="E590" s="542" t="n"/>
      <c r="F590" s="542" t="n"/>
      <c r="G590" s="542" t="n"/>
      <c r="H590" s="542" t="n"/>
      <c r="I590" s="542" t="n"/>
      <c r="J590" s="542" t="n"/>
      <c r="K590" s="542" t="n"/>
      <c r="L590" s="9" t="n"/>
      <c r="M590" s="9" t="n"/>
      <c r="N590" s="9" t="n"/>
      <c r="O590" s="9" t="n"/>
      <c r="P590" s="9" t="n"/>
      <c r="Q590" s="9" t="n"/>
      <c r="R590" s="9" t="n"/>
    </row>
    <row r="591" ht="16.5" customHeight="1">
      <c r="A591" s="9" t="n"/>
      <c r="B591" s="542" t="n"/>
      <c r="C591" s="542" t="n"/>
      <c r="D591" s="542" t="n"/>
      <c r="E591" s="542" t="n"/>
      <c r="F591" s="542" t="n"/>
      <c r="G591" s="542" t="n"/>
      <c r="H591" s="542" t="n"/>
      <c r="I591" s="542" t="n"/>
      <c r="J591" s="542" t="n"/>
      <c r="K591" s="542" t="n"/>
      <c r="L591" s="9" t="n"/>
      <c r="M591" s="9" t="n"/>
      <c r="N591" s="9" t="n"/>
      <c r="O591" s="9" t="n"/>
      <c r="P591" s="9" t="n"/>
      <c r="Q591" s="9" t="n"/>
      <c r="R591" s="9" t="n"/>
    </row>
    <row r="592" ht="16.5" customHeight="1">
      <c r="A592" s="9" t="n"/>
      <c r="B592" s="542" t="n"/>
      <c r="C592" s="542" t="n"/>
      <c r="D592" s="542" t="n"/>
      <c r="E592" s="542" t="n"/>
      <c r="F592" s="542" t="n"/>
      <c r="G592" s="542" t="n"/>
      <c r="H592" s="542" t="n"/>
      <c r="I592" s="542" t="n"/>
      <c r="J592" s="542" t="n"/>
      <c r="K592" s="542" t="n"/>
      <c r="L592" s="9" t="n"/>
      <c r="M592" s="9" t="n"/>
      <c r="N592" s="9" t="n"/>
      <c r="O592" s="9" t="n"/>
      <c r="P592" s="9" t="n"/>
      <c r="Q592" s="9" t="n"/>
      <c r="R592" s="9" t="n"/>
    </row>
    <row r="593" ht="16.5" customHeight="1">
      <c r="A593" s="9" t="n"/>
      <c r="B593" s="542" t="n"/>
      <c r="C593" s="542" t="n"/>
      <c r="D593" s="542" t="n"/>
      <c r="E593" s="542" t="n"/>
      <c r="F593" s="542" t="n"/>
      <c r="G593" s="542" t="n"/>
      <c r="H593" s="542" t="n"/>
      <c r="I593" s="542" t="n"/>
      <c r="J593" s="542" t="n"/>
      <c r="K593" s="542" t="n"/>
      <c r="L593" s="9" t="n"/>
      <c r="M593" s="9" t="n"/>
      <c r="N593" s="9" t="n"/>
      <c r="O593" s="9" t="n"/>
      <c r="P593" s="9" t="n"/>
      <c r="Q593" s="9" t="n"/>
      <c r="R593" s="9" t="n"/>
    </row>
    <row r="594" ht="16.5" customHeight="1">
      <c r="A594" s="9" t="n"/>
      <c r="B594" s="542" t="n"/>
      <c r="C594" s="542" t="n"/>
      <c r="D594" s="542" t="n"/>
      <c r="E594" s="542" t="n"/>
      <c r="F594" s="542" t="n"/>
      <c r="G594" s="542" t="n"/>
      <c r="H594" s="542" t="n"/>
      <c r="I594" s="542" t="n"/>
      <c r="J594" s="542" t="n"/>
      <c r="K594" s="542" t="n"/>
      <c r="L594" s="9" t="n"/>
      <c r="M594" s="9" t="n"/>
      <c r="N594" s="9" t="n"/>
      <c r="O594" s="9" t="n"/>
      <c r="P594" s="9" t="n"/>
      <c r="Q594" s="9" t="n"/>
      <c r="R594" s="9" t="n"/>
    </row>
    <row r="595" ht="16.5" customHeight="1">
      <c r="A595" s="9" t="n"/>
      <c r="B595" s="542" t="n"/>
      <c r="C595" s="542" t="n"/>
      <c r="D595" s="542" t="n"/>
      <c r="E595" s="542" t="n"/>
      <c r="F595" s="542" t="n"/>
      <c r="G595" s="542" t="n"/>
      <c r="H595" s="542" t="n"/>
      <c r="I595" s="542" t="n"/>
      <c r="J595" s="542" t="n"/>
      <c r="K595" s="542" t="n"/>
      <c r="L595" s="9" t="n"/>
      <c r="M595" s="9" t="n"/>
      <c r="N595" s="9" t="n"/>
      <c r="O595" s="9" t="n"/>
      <c r="P595" s="9" t="n"/>
      <c r="Q595" s="9" t="n"/>
      <c r="R595" s="9" t="n"/>
    </row>
    <row r="596" ht="16.5" customHeight="1">
      <c r="A596" s="9" t="n"/>
      <c r="B596" s="542" t="n"/>
      <c r="C596" s="542" t="n"/>
      <c r="D596" s="542" t="n"/>
      <c r="E596" s="542" t="n"/>
      <c r="F596" s="542" t="n"/>
      <c r="G596" s="542" t="n"/>
      <c r="H596" s="542" t="n"/>
      <c r="I596" s="542" t="n"/>
      <c r="J596" s="542" t="n"/>
      <c r="K596" s="542" t="n"/>
      <c r="L596" s="9" t="n"/>
      <c r="M596" s="9" t="n"/>
      <c r="N596" s="9" t="n"/>
      <c r="O596" s="9" t="n"/>
      <c r="P596" s="9" t="n"/>
      <c r="Q596" s="9" t="n"/>
      <c r="R596" s="9" t="n"/>
    </row>
    <row r="597" ht="16.5" customHeight="1">
      <c r="A597" s="9" t="n"/>
      <c r="B597" s="542" t="n"/>
      <c r="C597" s="542" t="n"/>
      <c r="D597" s="542" t="n"/>
      <c r="E597" s="542" t="n"/>
      <c r="F597" s="542" t="n"/>
      <c r="G597" s="542" t="n"/>
      <c r="H597" s="542" t="n"/>
      <c r="I597" s="542" t="n"/>
      <c r="J597" s="542" t="n"/>
      <c r="K597" s="542" t="n"/>
      <c r="L597" s="9" t="n"/>
      <c r="M597" s="9" t="n"/>
      <c r="N597" s="9" t="n"/>
      <c r="O597" s="9" t="n"/>
      <c r="P597" s="9" t="n"/>
      <c r="Q597" s="9" t="n"/>
      <c r="R597" s="9" t="n"/>
    </row>
    <row r="598" ht="16.5" customHeight="1">
      <c r="A598" s="9" t="n"/>
      <c r="B598" s="542" t="n"/>
      <c r="C598" s="542" t="n"/>
      <c r="D598" s="542" t="n"/>
      <c r="E598" s="542" t="n"/>
      <c r="F598" s="542" t="n"/>
      <c r="G598" s="542" t="n"/>
      <c r="H598" s="542" t="n"/>
      <c r="I598" s="542" t="n"/>
      <c r="J598" s="542" t="n"/>
      <c r="K598" s="542" t="n"/>
      <c r="L598" s="9" t="n"/>
      <c r="M598" s="9" t="n"/>
      <c r="N598" s="9" t="n"/>
      <c r="O598" s="9" t="n"/>
      <c r="P598" s="9" t="n"/>
      <c r="Q598" s="9" t="n"/>
      <c r="R598" s="9" t="n"/>
    </row>
    <row r="599" ht="16.5" customHeight="1">
      <c r="A599" s="9" t="n"/>
      <c r="B599" s="542" t="n"/>
      <c r="C599" s="542" t="n"/>
      <c r="D599" s="542" t="n"/>
      <c r="E599" s="542" t="n"/>
      <c r="F599" s="542" t="n"/>
      <c r="G599" s="542" t="n"/>
      <c r="H599" s="542" t="n"/>
      <c r="I599" s="542" t="n"/>
      <c r="J599" s="542" t="n"/>
      <c r="K599" s="542" t="n"/>
      <c r="L599" s="9" t="n"/>
      <c r="M599" s="9" t="n"/>
      <c r="N599" s="9" t="n"/>
      <c r="O599" s="9" t="n"/>
      <c r="P599" s="9" t="n"/>
      <c r="Q599" s="9" t="n"/>
      <c r="R599" s="9" t="n"/>
    </row>
    <row r="600" ht="16.5" customHeight="1">
      <c r="A600" s="9" t="n"/>
      <c r="B600" s="542" t="n"/>
      <c r="C600" s="542" t="n"/>
      <c r="D600" s="542" t="n"/>
      <c r="E600" s="542" t="n"/>
      <c r="F600" s="542" t="n"/>
      <c r="G600" s="542" t="n"/>
      <c r="H600" s="542" t="n"/>
      <c r="I600" s="542" t="n"/>
      <c r="J600" s="542" t="n"/>
      <c r="K600" s="542" t="n"/>
      <c r="L600" s="9" t="n"/>
      <c r="M600" s="9" t="n"/>
      <c r="N600" s="9" t="n"/>
      <c r="O600" s="9" t="n"/>
      <c r="P600" s="9" t="n"/>
      <c r="Q600" s="9" t="n"/>
      <c r="R600" s="9" t="n"/>
    </row>
    <row r="601" ht="16.5" customHeight="1">
      <c r="A601" s="9" t="n"/>
      <c r="B601" s="542" t="n"/>
      <c r="C601" s="542" t="n"/>
      <c r="D601" s="542" t="n"/>
      <c r="E601" s="542" t="n"/>
      <c r="F601" s="542" t="n"/>
      <c r="G601" s="542" t="n"/>
      <c r="H601" s="542" t="n"/>
      <c r="I601" s="542" t="n"/>
      <c r="J601" s="542" t="n"/>
      <c r="K601" s="542" t="n"/>
      <c r="L601" s="9" t="n"/>
      <c r="M601" s="9" t="n"/>
      <c r="N601" s="9" t="n"/>
      <c r="O601" s="9" t="n"/>
      <c r="P601" s="9" t="n"/>
      <c r="Q601" s="9" t="n"/>
      <c r="R601" s="9" t="n"/>
    </row>
    <row r="602" ht="16.5" customHeight="1">
      <c r="A602" s="9" t="n"/>
      <c r="B602" s="542" t="n"/>
      <c r="C602" s="542" t="n"/>
      <c r="D602" s="542" t="n"/>
      <c r="E602" s="542" t="n"/>
      <c r="F602" s="542" t="n"/>
      <c r="G602" s="542" t="n"/>
      <c r="H602" s="542" t="n"/>
      <c r="I602" s="542" t="n"/>
      <c r="J602" s="542" t="n"/>
      <c r="K602" s="542" t="n"/>
      <c r="L602" s="9" t="n"/>
      <c r="M602" s="9" t="n"/>
      <c r="N602" s="9" t="n"/>
      <c r="O602" s="9" t="n"/>
      <c r="P602" s="9" t="n"/>
      <c r="Q602" s="9" t="n"/>
      <c r="R602" s="9" t="n"/>
    </row>
    <row r="603" ht="16.5" customHeight="1">
      <c r="A603" s="9" t="n"/>
      <c r="B603" s="542" t="n"/>
      <c r="C603" s="542" t="n"/>
      <c r="D603" s="542" t="n"/>
      <c r="E603" s="542" t="n"/>
      <c r="F603" s="542" t="n"/>
      <c r="G603" s="542" t="n"/>
      <c r="H603" s="542" t="n"/>
      <c r="I603" s="542" t="n"/>
      <c r="J603" s="9" t="n"/>
      <c r="K603" s="542" t="n"/>
      <c r="L603" s="9" t="n"/>
      <c r="M603" s="9" t="n"/>
      <c r="N603" s="9" t="n"/>
      <c r="O603" s="9" t="n"/>
      <c r="P603" s="9" t="n"/>
      <c r="Q603" s="9" t="n"/>
      <c r="R603" s="9" t="n"/>
    </row>
  </sheetData>
  <mergeCells count="445">
    <mergeCell ref="D473:E473"/>
    <mergeCell ref="D60:E60"/>
    <mergeCell ref="D174:E174"/>
    <mergeCell ref="D472:E472"/>
    <mergeCell ref="B317:B334"/>
    <mergeCell ref="C21:E21"/>
    <mergeCell ref="A141:A165"/>
    <mergeCell ref="D45:E45"/>
    <mergeCell ref="A72:A78"/>
    <mergeCell ref="D281:E281"/>
    <mergeCell ref="C313:E314"/>
    <mergeCell ref="C415:E415"/>
    <mergeCell ref="C123:E123"/>
    <mergeCell ref="C23:E23"/>
    <mergeCell ref="A441:A465"/>
    <mergeCell ref="D263:E263"/>
    <mergeCell ref="C413:E414"/>
    <mergeCell ref="B439:C440"/>
    <mergeCell ref="C121:E122"/>
    <mergeCell ref="C423:E423"/>
    <mergeCell ref="C10:E11"/>
    <mergeCell ref="B370:C371"/>
    <mergeCell ref="D363:E363"/>
    <mergeCell ref="D357:E357"/>
    <mergeCell ref="D73:E73"/>
    <mergeCell ref="C128:E128"/>
    <mergeCell ref="B347:C350"/>
    <mergeCell ref="C426:E426"/>
    <mergeCell ref="A70:A71"/>
    <mergeCell ref="C428:E428"/>
    <mergeCell ref="A472:A478"/>
    <mergeCell ref="D470:F470"/>
    <mergeCell ref="D479:E479"/>
    <mergeCell ref="C232:E232"/>
    <mergeCell ref="D371:F371"/>
    <mergeCell ref="D258:E258"/>
    <mergeCell ref="A139:A140"/>
    <mergeCell ref="D360:E360"/>
    <mergeCell ref="C233:E233"/>
    <mergeCell ref="D474:E474"/>
    <mergeCell ref="D253:E253"/>
    <mergeCell ref="D53:E53"/>
    <mergeCell ref="D351:E351"/>
    <mergeCell ref="D47:E47"/>
    <mergeCell ref="D482:E482"/>
    <mergeCell ref="C131:E131"/>
    <mergeCell ref="C24:E24"/>
    <mergeCell ref="B106:B114"/>
    <mergeCell ref="C431:E431"/>
    <mergeCell ref="C116:E116"/>
    <mergeCell ref="B80:C80"/>
    <mergeCell ref="D142:E142"/>
    <mergeCell ref="C26:E26"/>
    <mergeCell ref="B38:C39"/>
    <mergeCell ref="C324:E324"/>
    <mergeCell ref="D365:E365"/>
    <mergeCell ref="B79:C79"/>
    <mergeCell ref="B470:C471"/>
    <mergeCell ref="D79:E79"/>
    <mergeCell ref="C416:E416"/>
    <mergeCell ref="D144:E144"/>
    <mergeCell ref="D442:E442"/>
    <mergeCell ref="A306:A334"/>
    <mergeCell ref="D81:E81"/>
    <mergeCell ref="D379:E379"/>
    <mergeCell ref="D366:E366"/>
    <mergeCell ref="B417:B434"/>
    <mergeCell ref="C115:E115"/>
    <mergeCell ref="A241:A265"/>
    <mergeCell ref="C208:E208"/>
    <mergeCell ref="D259:E259"/>
    <mergeCell ref="B170:C171"/>
    <mergeCell ref="D55:E55"/>
    <mergeCell ref="D353:E353"/>
    <mergeCell ref="D140:F140"/>
    <mergeCell ref="B117:B134"/>
    <mergeCell ref="D361:E361"/>
    <mergeCell ref="D440:F440"/>
    <mergeCell ref="C330:E330"/>
    <mergeCell ref="C134:E134"/>
    <mergeCell ref="D354:E354"/>
    <mergeCell ref="C124:E124"/>
    <mergeCell ref="C106:E107"/>
    <mergeCell ref="C332:E332"/>
    <mergeCell ref="D356:E356"/>
    <mergeCell ref="C424:E424"/>
    <mergeCell ref="A272:A278"/>
    <mergeCell ref="B447:C450"/>
    <mergeCell ref="C27:E27"/>
    <mergeCell ref="C132:E132"/>
    <mergeCell ref="A239:A240"/>
    <mergeCell ref="A485:A503"/>
    <mergeCell ref="D145:E145"/>
    <mergeCell ref="C221:E222"/>
    <mergeCell ref="D272:E272"/>
    <mergeCell ref="D443:E443"/>
    <mergeCell ref="D381:E381"/>
    <mergeCell ref="C327:E327"/>
    <mergeCell ref="C425:E425"/>
    <mergeCell ref="D380:E380"/>
    <mergeCell ref="D147:E147"/>
    <mergeCell ref="D274:E274"/>
    <mergeCell ref="D245:E245"/>
    <mergeCell ref="D445:E445"/>
    <mergeCell ref="D382:E382"/>
    <mergeCell ref="C108:E108"/>
    <mergeCell ref="D82:E82"/>
    <mergeCell ref="C216:E216"/>
    <mergeCell ref="A40:A65"/>
    <mergeCell ref="B76:C78"/>
    <mergeCell ref="B463:C464"/>
    <mergeCell ref="A406:A434"/>
    <mergeCell ref="D158:E158"/>
    <mergeCell ref="A106:A134"/>
    <mergeCell ref="B372:C375"/>
    <mergeCell ref="D439:F439"/>
    <mergeCell ref="D375:E375"/>
    <mergeCell ref="D160:E160"/>
    <mergeCell ref="B265:C266"/>
    <mergeCell ref="D141:E141"/>
    <mergeCell ref="D72:E72"/>
    <mergeCell ref="A179:A182"/>
    <mergeCell ref="A372:A378"/>
    <mergeCell ref="D370:F370"/>
    <mergeCell ref="C229:E229"/>
    <mergeCell ref="B62:C63"/>
    <mergeCell ref="D451:E451"/>
    <mergeCell ref="D255:E255"/>
    <mergeCell ref="C427:E427"/>
    <mergeCell ref="A167:A168"/>
    <mergeCell ref="D260:E260"/>
    <mergeCell ref="D453:E453"/>
    <mergeCell ref="D148:E148"/>
    <mergeCell ref="A467:A468"/>
    <mergeCell ref="B147:C150"/>
    <mergeCell ref="D261:E261"/>
    <mergeCell ref="D448:E448"/>
    <mergeCell ref="C130:E130"/>
    <mergeCell ref="B217:B234"/>
    <mergeCell ref="C430:E430"/>
    <mergeCell ref="C224:E224"/>
    <mergeCell ref="B179:C179"/>
    <mergeCell ref="D179:E179"/>
    <mergeCell ref="C125:E125"/>
    <mergeCell ref="D166:E166"/>
    <mergeCell ref="D464:E464"/>
    <mergeCell ref="B279:C279"/>
    <mergeCell ref="C323:E323"/>
    <mergeCell ref="D466:E466"/>
    <mergeCell ref="A470:A471"/>
    <mergeCell ref="D180:E180"/>
    <mergeCell ref="D161:E161"/>
    <mergeCell ref="B70:C71"/>
    <mergeCell ref="C8:E9"/>
    <mergeCell ref="B14:B31"/>
    <mergeCell ref="D340:F340"/>
    <mergeCell ref="C230:E230"/>
    <mergeCell ref="D63:E63"/>
    <mergeCell ref="C3:E4"/>
    <mergeCell ref="B451:C454"/>
    <mergeCell ref="B255:C258"/>
    <mergeCell ref="B363:C364"/>
    <mergeCell ref="C18:E19"/>
    <mergeCell ref="D52:E52"/>
    <mergeCell ref="D350:E350"/>
    <mergeCell ref="D456:E456"/>
    <mergeCell ref="B365:C366"/>
    <mergeCell ref="D352:E352"/>
    <mergeCell ref="D162:E162"/>
    <mergeCell ref="D156:E156"/>
    <mergeCell ref="D460:E460"/>
    <mergeCell ref="D454:E454"/>
    <mergeCell ref="C321:E322"/>
    <mergeCell ref="D264:E264"/>
    <mergeCell ref="B355:C358"/>
    <mergeCell ref="D270:F270"/>
    <mergeCell ref="A38:A39"/>
    <mergeCell ref="D157:E157"/>
    <mergeCell ref="B50:C53"/>
    <mergeCell ref="C225:E225"/>
    <mergeCell ref="D251:E251"/>
    <mergeCell ref="D343:E343"/>
    <mergeCell ref="C227:E227"/>
    <mergeCell ref="D182:E182"/>
    <mergeCell ref="B280:C280"/>
    <mergeCell ref="D480:E480"/>
    <mergeCell ref="D280:E280"/>
    <mergeCell ref="C226:E226"/>
    <mergeCell ref="D345:E345"/>
    <mergeCell ref="D246:E246"/>
    <mergeCell ref="D46:E46"/>
    <mergeCell ref="A267:A268"/>
    <mergeCell ref="A367:A368"/>
    <mergeCell ref="D40:E40"/>
    <mergeCell ref="D282:E282"/>
    <mergeCell ref="C406:E407"/>
    <mergeCell ref="D183:E183"/>
    <mergeCell ref="D444:E444"/>
    <mergeCell ref="D248:E248"/>
    <mergeCell ref="D275:E275"/>
    <mergeCell ref="D41:E41"/>
    <mergeCell ref="A206:A234"/>
    <mergeCell ref="C309:E310"/>
    <mergeCell ref="C113:E114"/>
    <mergeCell ref="D43:E43"/>
    <mergeCell ref="C311:E312"/>
    <mergeCell ref="B379:C379"/>
    <mergeCell ref="C117:E118"/>
    <mergeCell ref="B40:C42"/>
    <mergeCell ref="A66:A68"/>
    <mergeCell ref="B465:C466"/>
    <mergeCell ref="D74:E74"/>
    <mergeCell ref="D372:E372"/>
    <mergeCell ref="C411:E412"/>
    <mergeCell ref="B46:C49"/>
    <mergeCell ref="B444:C446"/>
    <mergeCell ref="C119:E120"/>
    <mergeCell ref="D59:E59"/>
    <mergeCell ref="D172:E172"/>
    <mergeCell ref="B12:B13"/>
    <mergeCell ref="B58:C61"/>
    <mergeCell ref="D463:E463"/>
    <mergeCell ref="B239:C240"/>
    <mergeCell ref="B472:C475"/>
    <mergeCell ref="C228:E228"/>
    <mergeCell ref="D61:E61"/>
    <mergeCell ref="B251:C254"/>
    <mergeCell ref="D254:E254"/>
    <mergeCell ref="B163:C164"/>
    <mergeCell ref="D39:F39"/>
    <mergeCell ref="D48:E48"/>
    <mergeCell ref="D346:E346"/>
    <mergeCell ref="A439:A440"/>
    <mergeCell ref="B283:C283"/>
    <mergeCell ref="D283:E283"/>
    <mergeCell ref="B81:C82"/>
    <mergeCell ref="D348:E348"/>
    <mergeCell ref="D62:E62"/>
    <mergeCell ref="D56:E56"/>
    <mergeCell ref="A270:A271"/>
    <mergeCell ref="D347:E347"/>
    <mergeCell ref="A479:A482"/>
    <mergeCell ref="A172:A178"/>
    <mergeCell ref="B381:C382"/>
    <mergeCell ref="C213:E214"/>
    <mergeCell ref="D64:E64"/>
    <mergeCell ref="D362:E362"/>
    <mergeCell ref="C325:E325"/>
    <mergeCell ref="D51:E51"/>
    <mergeCell ref="D349:E349"/>
    <mergeCell ref="C20:E20"/>
    <mergeCell ref="C25:E25"/>
    <mergeCell ref="B380:C380"/>
    <mergeCell ref="B181:C182"/>
    <mergeCell ref="C133:E133"/>
    <mergeCell ref="D374:E374"/>
    <mergeCell ref="C22:E22"/>
    <mergeCell ref="C127:E127"/>
    <mergeCell ref="B270:C271"/>
    <mergeCell ref="A32:A34"/>
    <mergeCell ref="C419:E420"/>
    <mergeCell ref="B276:C278"/>
    <mergeCell ref="B481:C482"/>
    <mergeCell ref="B43:C45"/>
    <mergeCell ref="D359:E359"/>
    <mergeCell ref="B341:C343"/>
    <mergeCell ref="C14:E15"/>
    <mergeCell ref="D465:E465"/>
    <mergeCell ref="D75:E75"/>
    <mergeCell ref="C13:E13"/>
    <mergeCell ref="D181:E181"/>
    <mergeCell ref="D273:E273"/>
    <mergeCell ref="C109:E110"/>
    <mergeCell ref="B165:C166"/>
    <mergeCell ref="B351:C354"/>
    <mergeCell ref="B263:C264"/>
    <mergeCell ref="C211:E212"/>
    <mergeCell ref="B315:B316"/>
    <mergeCell ref="C409:E410"/>
    <mergeCell ref="C315:E315"/>
    <mergeCell ref="C231:E231"/>
    <mergeCell ref="C333:E333"/>
    <mergeCell ref="D153:E153"/>
    <mergeCell ref="D364:E364"/>
    <mergeCell ref="B339:C340"/>
    <mergeCell ref="D65:E65"/>
    <mergeCell ref="D71:F71"/>
    <mergeCell ref="C328:E328"/>
    <mergeCell ref="B176:C178"/>
    <mergeCell ref="C433:E433"/>
    <mergeCell ref="D446:E446"/>
    <mergeCell ref="C28:E28"/>
    <mergeCell ref="C326:E326"/>
    <mergeCell ref="B306:B314"/>
    <mergeCell ref="B476:C478"/>
    <mergeCell ref="D146:E146"/>
    <mergeCell ref="C434:E434"/>
    <mergeCell ref="C30:E30"/>
    <mergeCell ref="B83:C83"/>
    <mergeCell ref="A185:A203"/>
    <mergeCell ref="D83:E83"/>
    <mergeCell ref="D143:E143"/>
    <mergeCell ref="D441:E441"/>
    <mergeCell ref="B344:C346"/>
    <mergeCell ref="A170:A171"/>
    <mergeCell ref="A341:A365"/>
    <mergeCell ref="D481:E481"/>
    <mergeCell ref="D256:E256"/>
    <mergeCell ref="A335:A337"/>
    <mergeCell ref="A235:A237"/>
    <mergeCell ref="B383:C383"/>
    <mergeCell ref="D383:E383"/>
    <mergeCell ref="C209:E210"/>
    <mergeCell ref="D159:E159"/>
    <mergeCell ref="B141:C143"/>
    <mergeCell ref="D80:E80"/>
    <mergeCell ref="C217:E218"/>
    <mergeCell ref="C316:E316"/>
    <mergeCell ref="D459:E459"/>
    <mergeCell ref="B441:C443"/>
    <mergeCell ref="C408:E408"/>
    <mergeCell ref="C206:E207"/>
    <mergeCell ref="B281:C282"/>
    <mergeCell ref="D154:E154"/>
    <mergeCell ref="D461:E461"/>
    <mergeCell ref="D373:E373"/>
    <mergeCell ref="D58:E58"/>
    <mergeCell ref="C334:E334"/>
    <mergeCell ref="B415:B416"/>
    <mergeCell ref="D358:E358"/>
    <mergeCell ref="C219:E220"/>
    <mergeCell ref="D139:F139"/>
    <mergeCell ref="C29:E29"/>
    <mergeCell ref="B115:B116"/>
    <mergeCell ref="B259:C262"/>
    <mergeCell ref="A279:A282"/>
    <mergeCell ref="A79:A82"/>
    <mergeCell ref="C31:E31"/>
    <mergeCell ref="C329:E329"/>
    <mergeCell ref="C129:E129"/>
    <mergeCell ref="D155:E155"/>
    <mergeCell ref="D149:E149"/>
    <mergeCell ref="D447:E447"/>
    <mergeCell ref="A379:A382"/>
    <mergeCell ref="C331:E331"/>
    <mergeCell ref="D257:E257"/>
    <mergeCell ref="D151:E151"/>
    <mergeCell ref="D449:E449"/>
    <mergeCell ref="C421:E422"/>
    <mergeCell ref="D150:E150"/>
    <mergeCell ref="C16:E17"/>
    <mergeCell ref="B159:C162"/>
    <mergeCell ref="B376:C378"/>
    <mergeCell ref="B72:C75"/>
    <mergeCell ref="B183:C183"/>
    <mergeCell ref="A285:A303"/>
    <mergeCell ref="B241:C243"/>
    <mergeCell ref="C126:E126"/>
    <mergeCell ref="D164:E164"/>
    <mergeCell ref="B459:C462"/>
    <mergeCell ref="D462:E462"/>
    <mergeCell ref="A85:A103"/>
    <mergeCell ref="A3:A31"/>
    <mergeCell ref="C215:E215"/>
    <mergeCell ref="B247:C250"/>
    <mergeCell ref="D241:E241"/>
    <mergeCell ref="D170:F170"/>
    <mergeCell ref="C432:E432"/>
    <mergeCell ref="B144:C146"/>
    <mergeCell ref="B151:C154"/>
    <mergeCell ref="A135:A137"/>
    <mergeCell ref="D243:E243"/>
    <mergeCell ref="A339:A340"/>
    <mergeCell ref="C12:E12"/>
    <mergeCell ref="B180:C180"/>
    <mergeCell ref="D171:F171"/>
    <mergeCell ref="A435:A437"/>
    <mergeCell ref="C6:E7"/>
    <mergeCell ref="C111:E112"/>
    <mergeCell ref="B480:C480"/>
    <mergeCell ref="C306:E307"/>
    <mergeCell ref="C429:E429"/>
    <mergeCell ref="B406:B414"/>
    <mergeCell ref="D455:E455"/>
    <mergeCell ref="D240:F240"/>
    <mergeCell ref="D175:E175"/>
    <mergeCell ref="B206:B214"/>
    <mergeCell ref="D457:E457"/>
    <mergeCell ref="D271:F271"/>
    <mergeCell ref="D475:E475"/>
    <mergeCell ref="D165:E165"/>
    <mergeCell ref="D152:E152"/>
    <mergeCell ref="D279:E279"/>
    <mergeCell ref="D450:E450"/>
    <mergeCell ref="B3:B11"/>
    <mergeCell ref="D265:E265"/>
    <mergeCell ref="D452:E452"/>
    <mergeCell ref="D252:E252"/>
    <mergeCell ref="D239:F239"/>
    <mergeCell ref="B272:C275"/>
    <mergeCell ref="B215:B216"/>
    <mergeCell ref="D247:E247"/>
    <mergeCell ref="B483:C483"/>
    <mergeCell ref="C317:E318"/>
    <mergeCell ref="C223:E223"/>
    <mergeCell ref="A370:A371"/>
    <mergeCell ref="D249:E249"/>
    <mergeCell ref="C319:E320"/>
    <mergeCell ref="D341:E341"/>
    <mergeCell ref="B139:C140"/>
    <mergeCell ref="D49:E49"/>
    <mergeCell ref="B244:C246"/>
    <mergeCell ref="D242:E242"/>
    <mergeCell ref="D163:E163"/>
    <mergeCell ref="A385:A403"/>
    <mergeCell ref="D244:E244"/>
    <mergeCell ref="D342:E342"/>
    <mergeCell ref="D471:F471"/>
    <mergeCell ref="C417:E418"/>
    <mergeCell ref="B155:C158"/>
    <mergeCell ref="C234:E234"/>
    <mergeCell ref="D54:E54"/>
    <mergeCell ref="D483:E483"/>
    <mergeCell ref="B455:C458"/>
    <mergeCell ref="D458:E458"/>
    <mergeCell ref="D262:E262"/>
    <mergeCell ref="B172:C175"/>
    <mergeCell ref="D70:F70"/>
    <mergeCell ref="D266:E266"/>
    <mergeCell ref="D339:F339"/>
    <mergeCell ref="B64:C65"/>
    <mergeCell ref="D57:E57"/>
    <mergeCell ref="D355:E355"/>
    <mergeCell ref="B359:C362"/>
    <mergeCell ref="D38:F38"/>
    <mergeCell ref="C308:E308"/>
    <mergeCell ref="B54:C57"/>
    <mergeCell ref="D42:E42"/>
    <mergeCell ref="C5:E5"/>
    <mergeCell ref="D344:E344"/>
    <mergeCell ref="D173:E173"/>
    <mergeCell ref="D250:E250"/>
    <mergeCell ref="D50:E50"/>
    <mergeCell ref="D44:E44"/>
    <mergeCell ref="B479:C479"/>
  </mergeCells>
  <dataValidations count="10">
    <dataValidation sqref="G40:K41 G43:K44 G46:K47 G50:K51 G54:K54 G58:K58 G62:K62 G72:K72 G76:K77 G79:K81 G83:G84 G141:K142 G144:K145 G147:K148 G151:K152 G155:K155 G159:K160 G163:K163 G172:K172 G176:K177 G179:K181 G183:K183 G241:K241 G244:K244 G247:K248 G251:K252 G255:K255 G259:K260 G263:K263 G272:K272 G276:K277 G279:K281 G283:K283 G341:K341 G344:K344 G347:K348 G351:K352 G355:K355 G359:K360 G363:K363 G372:K372 G376:K377 G379:K381 G383:K383 G441:K442 G444:K445 G447:K448 G451:K452 G455:K455 G459:K459 G463:K463 G472:K472 G476:K477 G479:K481 G483:K483 G541:I542 G544:I545 G547:I548 G551:I552 G555:I555 G559:I559 G563:I563 G572:I572 G576:I577 G579:I581 G583:I583 H83:K83 J540:J541 J543:J544 J546:J547 J550:J551 J554 J558 J562 J571 J575:J576 J578:J580 J582 K541:K542 K544:K545 K547:K548 K551:K552 K555 K559 K563 K572 K576:K577 K579:K581 K583" showDropDown="0" showInputMessage="1" showErrorMessage="1" allowBlank="1" type="list">
      <formula1>$M$40:$O$40</formula1>
    </dataValidation>
    <dataValidation sqref="G19:K19 G122:K122 G222:K222 G422:K422 G522:I522 J521 K522" showDropDown="0" showInputMessage="1" showErrorMessage="1" allowBlank="1" type="list">
      <formula1>$M$22:$O$22</formula1>
    </dataValidation>
    <dataValidation sqref="G20:K20 G123:K123 G223:K223 G323:K323 G423:K423 G523:I523 J522 K523 R20" showDropDown="0" showInputMessage="1" showErrorMessage="1" allowBlank="1" type="list">
      <formula1>$M$20:$N$20</formula1>
    </dataValidation>
    <dataValidation sqref="G13:K13 G116:K116 G216:K216 G316:K316 G416:K416 G516:I516 J515 K516 R13" showDropDown="0" showInputMessage="1" showErrorMessage="1" allowBlank="1" type="list">
      <formula1>$M$13:$N$13</formula1>
    </dataValidation>
    <dataValidation sqref="G11:K11 G114:K114 G214:K214 G314:K314 G414:K414 G514:I514 J513 K514 R11" showDropDown="0" showInputMessage="1" showErrorMessage="1" allowBlank="1" type="list">
      <formula1>$M$11:$N$11</formula1>
    </dataValidation>
    <dataValidation sqref="G10:K10 G113:K113 G213:K213 G313:K313 G413:K413 G513:I513 J512 K513 R10" showDropDown="0" showInputMessage="1" showErrorMessage="1" allowBlank="1" type="list">
      <formula1>$M$10:$N$10</formula1>
    </dataValidation>
    <dataValidation sqref="G7:K7 G17:K17 G110:K110 G210:K210 G220:K220 G310:K310 G320:K320 G410:K410 G420:K420 G510:I510 G520:I520 J509 J519 K510 K520 R7 R17" showDropDown="0" showInputMessage="1" showErrorMessage="1" allowBlank="1" type="list">
      <formula1>$M$7:$O$7</formula1>
    </dataValidation>
    <dataValidation sqref="G4:K4 G15:K15 G107:K107 G118:K118 G207:K207 G218:K218 G307:K307 G318:K318 G407:K407 G418:K418 G507:I507 G518:I518 J506 J517 K507 K518 R4 R15" showDropDown="0" showInputMessage="1" showErrorMessage="1" allowBlank="1" type="list">
      <formula1>$M$4:$O$4</formula1>
    </dataValidation>
    <dataValidation sqref="G55:K55 G59:K59 G63:K63 G73:K73 G156:K156 G164:K164 G173:K173 G242:K242 G245:K245 G256:K256 G264:K264 G273:K273 G342:K342 G345:K345 G356:K356 G364:K364 G373:K373 G456:K456 G460:K460 G464:K464 G473:K473 G556:I556 G560:I560 G564:I564 G573:I573 J555 J559 J563 J572 K556 K560 K564 K573" showDropDown="0" showInputMessage="1" showErrorMessage="1" allowBlank="1" type="list">
      <formula1>$M$40:$P$40</formula1>
    </dataValidation>
    <dataValidation sqref="G29:K31 G132:K134 G232:K234 G332:K334 G432:K434 G532:I534 J531:J533 K532:K534 R29:R31" showDropDown="0" showInputMessage="1" showErrorMessage="1" allowBlank="1" type="list">
      <formula1>$M$29:$N$29</formula1>
    </dataValidation>
  </dataValidations>
  <pageMargins left="0.5905511811023623" right="0.5905511811023623" top="0.5905511811023623" bottom="0.3937007874015748" header="0.5118110236220472" footer="0.5118110236220472"/>
  <pageSetup orientation="landscape" paperSize="9" scale="81"/>
  <rowBreaks count="17" manualBreakCount="17">
    <brk id="34" min="0" max="10" man="1"/>
    <brk id="68" min="0" max="10" man="1"/>
    <brk id="103" min="0" max="10" man="1"/>
    <brk id="137" min="0" max="10" man="1"/>
    <brk id="168" min="0" max="10" man="1"/>
    <brk id="203" min="0" max="10" man="1"/>
    <brk id="237" min="0" max="10" man="1"/>
    <brk id="268" min="0" max="10" man="1"/>
    <brk id="303" min="0" max="10" man="1"/>
    <brk id="337" min="0" max="10" man="1"/>
    <brk id="368" min="0" max="10" man="1"/>
    <brk id="403" min="0" max="10" man="1"/>
    <brk id="437" min="0" max="10" man="1"/>
    <brk id="468" min="0" max="10" man="1"/>
    <brk id="503" min="0" max="10" man="1"/>
    <brk id="537" min="0" max="10" man="1"/>
    <brk id="568" min="0" max="10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J190"/>
  <sheetViews>
    <sheetView view="pageBreakPreview" topLeftCell="A149" zoomScale="120" zoomScaleNormal="100" zoomScaleSheetLayoutView="120" workbookViewId="0">
      <selection activeCell="A157" sqref="A157:H157"/>
    </sheetView>
  </sheetViews>
  <sheetFormatPr baseColWidth="8" defaultColWidth="9" defaultRowHeight="13"/>
  <cols>
    <col width="9.83203125" customWidth="1" style="787" min="1" max="2"/>
    <col width="9" customWidth="1" style="787" min="3" max="3"/>
    <col width="11.6640625" customWidth="1" style="787" min="4" max="8"/>
    <col width="10.1640625" customWidth="1" style="787" min="9" max="11"/>
    <col width="9" customWidth="1" style="787" min="12" max="12"/>
    <col width="9" customWidth="1" style="787" min="13" max="16384"/>
  </cols>
  <sheetData>
    <row r="1" ht="23.25" customHeight="1">
      <c r="A1" s="971" t="inlineStr">
        <is>
          <t>筒　賀　水　質　管　理　セ　ン　ター</t>
        </is>
      </c>
      <c r="I1" s="9" t="n"/>
      <c r="J1" s="9" t="n"/>
    </row>
    <row r="2" ht="9" customHeight="1">
      <c r="A2" s="544" t="n"/>
      <c r="B2" s="544" t="n"/>
      <c r="C2" s="544" t="n"/>
      <c r="D2" s="544" t="n"/>
      <c r="E2" s="544" t="n"/>
      <c r="F2" s="544" t="n"/>
      <c r="G2" s="544" t="n"/>
      <c r="H2" s="544" t="n"/>
      <c r="I2" s="9" t="n"/>
      <c r="J2" s="9" t="n"/>
    </row>
    <row r="3" ht="18.75" customHeight="1">
      <c r="A3" s="972" t="inlineStr">
        <is>
          <t xml:space="preserve">主　要　機　器　運　転　時　間　</t>
        </is>
      </c>
      <c r="I3" s="9" t="n"/>
      <c r="J3" s="9" t="n"/>
    </row>
    <row r="4" ht="8.25" customHeight="1">
      <c r="A4" s="788" t="n"/>
      <c r="B4" s="788" t="n"/>
      <c r="C4" s="788" t="n"/>
      <c r="D4" s="788" t="n"/>
      <c r="E4" s="788" t="n"/>
      <c r="F4" s="788" t="n"/>
      <c r="G4" s="788" t="n"/>
      <c r="H4" s="788" t="n"/>
      <c r="I4" s="9" t="n"/>
      <c r="J4" s="9" t="n"/>
    </row>
    <row r="5" ht="18.75" customHeight="1">
      <c r="A5" s="973" t="n">
        <v>46083</v>
      </c>
      <c r="D5" s="974" t="inlineStr">
        <is>
          <t>～</t>
        </is>
      </c>
      <c r="F5" s="973">
        <f>A5+4</f>
        <v/>
      </c>
      <c r="I5" s="9" t="n"/>
      <c r="J5" s="9" t="n"/>
    </row>
    <row r="6" ht="18.75" customHeight="1">
      <c r="A6" s="544" t="n"/>
      <c r="B6" s="544" t="n"/>
      <c r="C6" s="544" t="n"/>
      <c r="D6" s="544" t="n"/>
      <c r="E6" s="544" t="n"/>
      <c r="F6" s="544" t="n"/>
      <c r="G6" s="544" t="n"/>
      <c r="H6" s="544" t="n"/>
      <c r="I6" s="9" t="n"/>
      <c r="J6" s="9" t="n"/>
    </row>
    <row r="7" ht="20.25" customHeight="1">
      <c r="A7" s="790" t="inlineStr">
        <is>
          <t>機　　器　　名　　称</t>
        </is>
      </c>
      <c r="B7" s="574" t="n"/>
      <c r="C7" s="580" t="n"/>
      <c r="D7" s="790" t="inlineStr">
        <is>
          <t>月</t>
        </is>
      </c>
      <c r="E7" s="790" t="inlineStr">
        <is>
          <t>火</t>
        </is>
      </c>
      <c r="F7" s="790" t="inlineStr">
        <is>
          <t>水</t>
        </is>
      </c>
      <c r="G7" s="790" t="inlineStr">
        <is>
          <t>木</t>
        </is>
      </c>
      <c r="H7" s="790" t="inlineStr">
        <is>
          <t>金</t>
        </is>
      </c>
      <c r="I7" s="9" t="n"/>
      <c r="J7" s="9" t="n"/>
    </row>
    <row r="8" ht="25" customHeight="1">
      <c r="A8" s="547" t="inlineStr">
        <is>
          <t xml:space="preserve">NO.1主ポンプ　　</t>
        </is>
      </c>
      <c r="B8" s="548" t="n"/>
      <c r="C8" s="549" t="inlineStr">
        <is>
          <t>hr</t>
        </is>
      </c>
      <c r="D8" s="975" t="n"/>
      <c r="E8" s="975" t="n"/>
      <c r="F8" s="975" t="n"/>
      <c r="G8" s="975" t="n"/>
      <c r="H8" s="975" t="n"/>
      <c r="I8" s="9" t="n"/>
      <c r="J8" s="976" t="n"/>
    </row>
    <row r="9" ht="25" customHeight="1">
      <c r="A9" s="547" t="inlineStr">
        <is>
          <t xml:space="preserve">NO.2主ポンプ　　</t>
        </is>
      </c>
      <c r="B9" s="548" t="n"/>
      <c r="C9" s="549" t="inlineStr">
        <is>
          <t>hr</t>
        </is>
      </c>
      <c r="D9" s="975" t="n"/>
      <c r="E9" s="975" t="n"/>
      <c r="F9" s="975" t="n"/>
      <c r="G9" s="975" t="n"/>
      <c r="H9" s="975" t="n"/>
      <c r="I9" s="9" t="n"/>
      <c r="J9" s="976" t="n"/>
    </row>
    <row r="10" ht="25" customHeight="1">
      <c r="A10" s="547" t="inlineStr">
        <is>
          <t xml:space="preserve">NO.1エアレーション装置　　</t>
        </is>
      </c>
      <c r="B10" s="548" t="n"/>
      <c r="C10" s="549" t="inlineStr">
        <is>
          <t>hr</t>
        </is>
      </c>
      <c r="D10" s="975" t="n"/>
      <c r="E10" s="975" t="n"/>
      <c r="F10" s="975" t="n"/>
      <c r="G10" s="975" t="n"/>
      <c r="H10" s="975" t="n"/>
      <c r="I10" s="9" t="n"/>
      <c r="J10" s="976" t="n"/>
    </row>
    <row r="11" ht="25" customHeight="1">
      <c r="A11" s="547" t="inlineStr">
        <is>
          <t xml:space="preserve">NO.2エアレーション装置　　</t>
        </is>
      </c>
      <c r="B11" s="548" t="n"/>
      <c r="C11" s="549" t="inlineStr">
        <is>
          <t>hr</t>
        </is>
      </c>
      <c r="D11" s="975" t="n"/>
      <c r="E11" s="975" t="n"/>
      <c r="F11" s="975" t="n"/>
      <c r="G11" s="975" t="n"/>
      <c r="H11" s="975" t="n"/>
      <c r="I11" s="9" t="n"/>
      <c r="J11" s="976" t="n"/>
    </row>
    <row r="12" ht="25" customHeight="1">
      <c r="A12" s="547" t="inlineStr">
        <is>
          <t xml:space="preserve">NO.3エアレーション装置　　</t>
        </is>
      </c>
      <c r="B12" s="548" t="n"/>
      <c r="C12" s="549" t="inlineStr">
        <is>
          <t>hr</t>
        </is>
      </c>
      <c r="D12" s="975" t="n"/>
      <c r="E12" s="975" t="n"/>
      <c r="F12" s="975" t="n"/>
      <c r="G12" s="975" t="n"/>
      <c r="H12" s="975" t="n"/>
      <c r="I12" s="9" t="n"/>
      <c r="J12" s="976" t="n"/>
    </row>
    <row r="13" ht="25" customHeight="1">
      <c r="A13" s="547" t="inlineStr">
        <is>
          <t xml:space="preserve">NO.4エアレーション装置　　</t>
        </is>
      </c>
      <c r="B13" s="548" t="n"/>
      <c r="C13" s="549" t="inlineStr">
        <is>
          <t>hr</t>
        </is>
      </c>
      <c r="D13" s="975" t="n"/>
      <c r="E13" s="975" t="n"/>
      <c r="F13" s="975" t="n"/>
      <c r="G13" s="975" t="n"/>
      <c r="H13" s="975" t="n"/>
      <c r="I13" s="9" t="n"/>
      <c r="J13" s="976" t="n"/>
    </row>
    <row r="14" ht="25" customHeight="1">
      <c r="A14" s="547" t="inlineStr">
        <is>
          <t xml:space="preserve">№1終沈汚泥かき寄せ機　　</t>
        </is>
      </c>
      <c r="B14" s="548" t="n"/>
      <c r="C14" s="549" t="inlineStr">
        <is>
          <t>hr</t>
        </is>
      </c>
      <c r="D14" s="975" t="n"/>
      <c r="E14" s="975" t="n"/>
      <c r="F14" s="975" t="n"/>
      <c r="G14" s="975" t="n"/>
      <c r="H14" s="975" t="n"/>
      <c r="I14" s="9" t="n"/>
      <c r="J14" s="976" t="n"/>
    </row>
    <row r="15" ht="25" customHeight="1">
      <c r="A15" s="547" t="inlineStr">
        <is>
          <t xml:space="preserve">№2終沈汚泥かき寄せ機　　</t>
        </is>
      </c>
      <c r="B15" s="548" t="n"/>
      <c r="C15" s="549" t="inlineStr">
        <is>
          <t>hr</t>
        </is>
      </c>
      <c r="D15" s="975" t="n"/>
      <c r="E15" s="975" t="n"/>
      <c r="F15" s="975" t="n"/>
      <c r="G15" s="975" t="n"/>
      <c r="H15" s="975" t="n"/>
      <c r="I15" s="9" t="n"/>
      <c r="J15" s="976" t="n"/>
    </row>
    <row r="16" ht="25" customHeight="1">
      <c r="A16" s="547" t="inlineStr">
        <is>
          <t xml:space="preserve">NO.1返送汚泥ポンプ </t>
        </is>
      </c>
      <c r="B16" s="548" t="n"/>
      <c r="C16" s="549" t="inlineStr">
        <is>
          <t>hr</t>
        </is>
      </c>
      <c r="D16" s="975" t="n"/>
      <c r="E16" s="975" t="n"/>
      <c r="F16" s="975" t="n"/>
      <c r="G16" s="975" t="n"/>
      <c r="H16" s="975" t="n"/>
      <c r="I16" s="9" t="n"/>
      <c r="J16" s="976" t="n"/>
    </row>
    <row r="17" ht="25" customHeight="1">
      <c r="A17" s="547" t="inlineStr">
        <is>
          <t xml:space="preserve">NO.2返送汚泥ポンプ </t>
        </is>
      </c>
      <c r="B17" s="548" t="n"/>
      <c r="C17" s="549" t="inlineStr">
        <is>
          <t>hr</t>
        </is>
      </c>
      <c r="D17" s="975" t="n"/>
      <c r="E17" s="975" t="n"/>
      <c r="F17" s="975" t="n"/>
      <c r="G17" s="975" t="n"/>
      <c r="H17" s="975" t="n"/>
      <c r="I17" s="9" t="n"/>
      <c r="J17" s="976" t="n"/>
    </row>
    <row r="18" ht="25" customHeight="1">
      <c r="A18" s="547" t="inlineStr">
        <is>
          <t xml:space="preserve">NO.3返送汚泥ポンプ </t>
        </is>
      </c>
      <c r="B18" s="548" t="n"/>
      <c r="C18" s="549" t="inlineStr">
        <is>
          <t>hr</t>
        </is>
      </c>
      <c r="D18" s="975" t="n"/>
      <c r="E18" s="975" t="n"/>
      <c r="F18" s="975" t="n"/>
      <c r="G18" s="975" t="n"/>
      <c r="H18" s="975" t="n"/>
      <c r="I18" s="9" t="n"/>
      <c r="J18" s="976" t="n"/>
    </row>
    <row r="19" ht="25" customHeight="1">
      <c r="A19" s="547" t="inlineStr">
        <is>
          <t xml:space="preserve">NO.4返送汚泥ポンプ </t>
        </is>
      </c>
      <c r="B19" s="548" t="n"/>
      <c r="C19" s="549" t="inlineStr">
        <is>
          <t>hr</t>
        </is>
      </c>
      <c r="D19" s="975" t="n"/>
      <c r="E19" s="975" t="n"/>
      <c r="F19" s="975" t="n"/>
      <c r="G19" s="975" t="n"/>
      <c r="H19" s="975" t="n"/>
      <c r="I19" s="9" t="n"/>
      <c r="J19" s="976" t="n"/>
    </row>
    <row r="20" ht="25" customHeight="1">
      <c r="A20" s="547" t="inlineStr">
        <is>
          <t xml:space="preserve">NO.1余剰汚泥ポンプ </t>
        </is>
      </c>
      <c r="B20" s="548" t="n"/>
      <c r="C20" s="549" t="inlineStr">
        <is>
          <t>hr</t>
        </is>
      </c>
      <c r="D20" s="975" t="n"/>
      <c r="E20" s="975" t="n"/>
      <c r="F20" s="975" t="n"/>
      <c r="G20" s="975" t="n"/>
      <c r="H20" s="975" t="n"/>
      <c r="I20" s="9" t="n"/>
      <c r="J20" s="976" t="n"/>
    </row>
    <row r="21" ht="25" customHeight="1">
      <c r="A21" s="547" t="inlineStr">
        <is>
          <t xml:space="preserve">NO.2余剰汚泥ポンプ </t>
        </is>
      </c>
      <c r="B21" s="548" t="n"/>
      <c r="C21" s="549" t="inlineStr">
        <is>
          <t>hr</t>
        </is>
      </c>
      <c r="D21" s="975" t="n"/>
      <c r="E21" s="975" t="n"/>
      <c r="F21" s="975" t="n"/>
      <c r="G21" s="975" t="n"/>
      <c r="H21" s="975" t="n"/>
      <c r="I21" s="9" t="n"/>
      <c r="J21" s="976" t="n"/>
    </row>
    <row r="22" ht="25" customHeight="1">
      <c r="A22" s="547" t="inlineStr">
        <is>
          <t xml:space="preserve">終沈室床排ポンプ </t>
        </is>
      </c>
      <c r="B22" s="548" t="n"/>
      <c r="C22" s="549" t="inlineStr">
        <is>
          <t>hr</t>
        </is>
      </c>
      <c r="D22" s="975" t="n"/>
      <c r="E22" s="975" t="n"/>
      <c r="F22" s="975" t="n"/>
      <c r="G22" s="975" t="n"/>
      <c r="H22" s="975" t="n"/>
      <c r="I22" s="9" t="n"/>
      <c r="J22" s="976" t="n"/>
    </row>
    <row r="23" ht="25" customHeight="1">
      <c r="A23" s="547" t="inlineStr">
        <is>
          <t xml:space="preserve">№1濃縮汚泥引抜ポンプ  </t>
        </is>
      </c>
      <c r="B23" s="548" t="n"/>
      <c r="C23" s="549" t="inlineStr">
        <is>
          <t>hr</t>
        </is>
      </c>
      <c r="D23" s="975" t="n"/>
      <c r="E23" s="975" t="n"/>
      <c r="F23" s="975" t="n"/>
      <c r="G23" s="975" t="n"/>
      <c r="H23" s="975" t="n"/>
      <c r="I23" s="9" t="n"/>
      <c r="J23" s="976" t="n"/>
    </row>
    <row r="24" ht="25" customHeight="1">
      <c r="A24" s="547" t="inlineStr">
        <is>
          <t xml:space="preserve">№2濃縮汚泥引抜ポンプ  </t>
        </is>
      </c>
      <c r="B24" s="548" t="n"/>
      <c r="C24" s="549" t="inlineStr">
        <is>
          <t>hr</t>
        </is>
      </c>
      <c r="D24" s="975" t="n"/>
      <c r="E24" s="975" t="n"/>
      <c r="F24" s="975" t="n"/>
      <c r="G24" s="975" t="n"/>
      <c r="H24" s="975" t="n"/>
      <c r="I24" s="9" t="n"/>
      <c r="J24" s="976" t="n"/>
    </row>
    <row r="25" ht="25" customHeight="1">
      <c r="A25" s="547" t="inlineStr">
        <is>
          <t xml:space="preserve">NO.1返流水ポンプ </t>
        </is>
      </c>
      <c r="B25" s="548" t="n"/>
      <c r="C25" s="549" t="inlineStr">
        <is>
          <t>hr</t>
        </is>
      </c>
      <c r="D25" s="975" t="n"/>
      <c r="E25" s="975" t="n"/>
      <c r="F25" s="975" t="n"/>
      <c r="G25" s="975" t="n"/>
      <c r="H25" s="975" t="n"/>
      <c r="I25" s="9" t="n"/>
      <c r="J25" s="976" t="n"/>
    </row>
    <row r="26" ht="25" customHeight="1">
      <c r="A26" s="547" t="inlineStr">
        <is>
          <t xml:space="preserve">NO.2返流水ポンプ </t>
        </is>
      </c>
      <c r="B26" s="548" t="n"/>
      <c r="C26" s="549" t="inlineStr">
        <is>
          <t>hr</t>
        </is>
      </c>
      <c r="D26" s="975" t="n"/>
      <c r="E26" s="975" t="n"/>
      <c r="F26" s="975" t="n"/>
      <c r="G26" s="975" t="n"/>
      <c r="H26" s="975" t="n"/>
      <c r="I26" s="9" t="n"/>
      <c r="J26" s="976" t="n"/>
    </row>
    <row r="27" ht="25" customHeight="1">
      <c r="A27" s="547" t="inlineStr">
        <is>
          <t xml:space="preserve">汚泥ポンプ室床排ポンプ </t>
        </is>
      </c>
      <c r="B27" s="548" t="n"/>
      <c r="C27" s="549" t="inlineStr">
        <is>
          <t>hr</t>
        </is>
      </c>
      <c r="D27" s="975" t="n"/>
      <c r="E27" s="975" t="n"/>
      <c r="F27" s="975" t="n"/>
      <c r="G27" s="975" t="n"/>
      <c r="H27" s="975" t="n"/>
      <c r="I27" s="9" t="n"/>
      <c r="J27" s="976" t="n"/>
    </row>
    <row r="28" ht="25" customHeight="1">
      <c r="A28" s="552" t="inlineStr">
        <is>
          <t>臭気ガス吸引装置</t>
        </is>
      </c>
      <c r="B28" s="553" t="n"/>
      <c r="C28" s="554" t="inlineStr">
        <is>
          <t>hr</t>
        </is>
      </c>
      <c r="D28" s="975" t="n"/>
      <c r="E28" s="975" t="n"/>
      <c r="F28" s="975" t="n"/>
      <c r="G28" s="975" t="n"/>
      <c r="H28" s="975" t="n"/>
      <c r="I28" s="9" t="n"/>
      <c r="J28" s="976" t="n"/>
    </row>
    <row r="29" ht="25" customHeight="1">
      <c r="A29" s="784" t="inlineStr">
        <is>
          <t>発電機</t>
        </is>
      </c>
      <c r="B29" s="574" t="n"/>
      <c r="C29" s="554" t="inlineStr">
        <is>
          <t>hr</t>
        </is>
      </c>
      <c r="D29" s="975" t="n"/>
      <c r="E29" s="975" t="n"/>
      <c r="F29" s="975" t="n"/>
      <c r="G29" s="975" t="n"/>
      <c r="H29" s="975" t="n"/>
      <c r="I29" s="9" t="n"/>
      <c r="J29" s="976" t="n"/>
    </row>
    <row r="30" ht="21" customHeight="1">
      <c r="A30" s="785" t="inlineStr">
        <is>
          <t>備考</t>
        </is>
      </c>
      <c r="B30" s="586" t="n"/>
      <c r="C30" s="555" t="n"/>
      <c r="D30" s="555" t="n"/>
      <c r="E30" s="555" t="n"/>
      <c r="F30" s="555" t="n"/>
      <c r="G30" s="555" t="n"/>
      <c r="H30" s="556" t="n"/>
      <c r="I30" s="9" t="n"/>
      <c r="J30" s="9" t="n"/>
    </row>
    <row r="31" ht="15.5" customHeight="1">
      <c r="A31" s="789" t="n"/>
      <c r="E31" s="544" t="n"/>
      <c r="F31" s="544" t="n"/>
      <c r="G31" s="544" t="n"/>
      <c r="H31" s="557" t="n"/>
      <c r="I31" s="9" t="n"/>
      <c r="J31" s="9" t="n"/>
    </row>
    <row r="32" ht="15.5" customHeight="1">
      <c r="A32" s="558" t="n"/>
      <c r="B32" s="300" t="n"/>
      <c r="C32" s="300" t="n"/>
      <c r="D32" s="559" t="n"/>
      <c r="E32" s="544" t="n"/>
      <c r="F32" s="544" t="n"/>
      <c r="G32" s="544" t="n"/>
      <c r="H32" s="557" t="n"/>
      <c r="I32" s="9" t="n"/>
      <c r="J32" s="9" t="n"/>
    </row>
    <row r="33" ht="15.5" customHeight="1">
      <c r="A33" s="560" t="n"/>
      <c r="B33" s="544" t="n"/>
      <c r="C33" s="544" t="n"/>
      <c r="D33" s="544" t="n"/>
      <c r="E33" s="544" t="n"/>
      <c r="F33" s="544" t="n"/>
      <c r="G33" s="544" t="n"/>
      <c r="H33" s="557" t="n"/>
      <c r="I33" s="9" t="n"/>
      <c r="J33" s="9" t="n"/>
    </row>
    <row r="34" ht="15.5" customHeight="1">
      <c r="A34" s="560" t="n"/>
      <c r="B34" s="544" t="n"/>
      <c r="C34" s="544" t="n"/>
      <c r="D34" s="544" t="n"/>
      <c r="E34" s="544" t="n"/>
      <c r="F34" s="544" t="n"/>
      <c r="G34" s="544" t="n"/>
      <c r="H34" s="557" t="n"/>
      <c r="I34" s="9" t="n"/>
      <c r="J34" s="9" t="n"/>
    </row>
    <row r="35" ht="15.5" customHeight="1">
      <c r="A35" s="560" t="n"/>
      <c r="B35" s="544" t="n"/>
      <c r="C35" s="544" t="n"/>
      <c r="D35" s="544" t="n"/>
      <c r="E35" s="544" t="n"/>
      <c r="F35" s="544" t="n"/>
      <c r="G35" s="544" t="n"/>
      <c r="H35" s="557" t="n"/>
      <c r="I35" s="9" t="n"/>
      <c r="J35" s="9" t="n"/>
    </row>
    <row r="36" ht="15" customHeight="1">
      <c r="A36" s="560" t="n"/>
      <c r="B36" s="544" t="n"/>
      <c r="C36" s="544" t="n"/>
      <c r="D36" s="544" t="n"/>
      <c r="E36" s="544" t="n"/>
      <c r="F36" s="544" t="n"/>
      <c r="G36" s="544" t="n"/>
      <c r="H36" s="557" t="n"/>
      <c r="I36" s="9" t="n"/>
      <c r="J36" s="9" t="n"/>
    </row>
    <row r="37" ht="15.5" customHeight="1">
      <c r="A37" s="561" t="n"/>
      <c r="B37" s="128" t="n"/>
      <c r="C37" s="128" t="n"/>
      <c r="D37" s="128" t="n"/>
      <c r="E37" s="128" t="n"/>
      <c r="F37" s="128" t="n"/>
      <c r="G37" s="128" t="n"/>
      <c r="H37" s="562" t="n"/>
      <c r="I37" s="9" t="n"/>
      <c r="J37" s="9" t="n"/>
    </row>
    <row r="38" ht="15.5" customHeight="1">
      <c r="A38" s="563" t="n"/>
      <c r="B38" s="564" t="n"/>
      <c r="C38" s="564" t="n"/>
      <c r="D38" s="564" t="n"/>
      <c r="E38" s="564" t="n"/>
      <c r="F38" s="564" t="n"/>
      <c r="G38" s="564" t="n"/>
      <c r="H38" s="565" t="n"/>
      <c r="I38" s="9" t="n"/>
      <c r="J38" s="9" t="n"/>
    </row>
    <row r="39" ht="23.25" customHeight="1">
      <c r="A39" s="971" t="inlineStr">
        <is>
          <t>筒　賀　水　質　管　理　セ　ン　ター</t>
        </is>
      </c>
      <c r="I39" s="9" t="n"/>
      <c r="J39" s="9" t="n"/>
    </row>
    <row r="40" ht="9" customHeight="1">
      <c r="A40" s="544" t="n"/>
      <c r="B40" s="544" t="n"/>
      <c r="C40" s="544" t="n"/>
      <c r="D40" s="544" t="n"/>
      <c r="E40" s="544" t="n"/>
      <c r="F40" s="544" t="n"/>
      <c r="G40" s="544" t="n"/>
      <c r="H40" s="544" t="n"/>
      <c r="I40" s="9" t="n"/>
      <c r="J40" s="9" t="n"/>
    </row>
    <row r="41" ht="18.75" customHeight="1">
      <c r="A41" s="972" t="inlineStr">
        <is>
          <t xml:space="preserve">主　要　機　器　運　転　時　間　</t>
        </is>
      </c>
      <c r="I41" s="9" t="n"/>
      <c r="J41" s="9" t="n"/>
    </row>
    <row r="42" ht="8.25" customHeight="1">
      <c r="A42" s="788" t="n"/>
      <c r="B42" s="788" t="n"/>
      <c r="C42" s="788" t="n"/>
      <c r="D42" s="788" t="n"/>
      <c r="E42" s="788" t="n"/>
      <c r="F42" s="788" t="n"/>
      <c r="G42" s="788" t="n"/>
      <c r="H42" s="788" t="n"/>
      <c r="I42" s="9" t="n"/>
      <c r="J42" s="9" t="n"/>
    </row>
    <row r="43" ht="18.75" customHeight="1">
      <c r="A43" s="973" t="n">
        <v>46090</v>
      </c>
      <c r="D43" s="974" t="inlineStr">
        <is>
          <t>～</t>
        </is>
      </c>
      <c r="F43" s="973">
        <f>A43+4</f>
        <v/>
      </c>
      <c r="I43" s="9" t="n"/>
      <c r="J43" s="9" t="n"/>
    </row>
    <row r="44" ht="18.75" customHeight="1">
      <c r="A44" s="544" t="n"/>
      <c r="B44" s="544" t="n"/>
      <c r="C44" s="544" t="n"/>
      <c r="D44" s="544" t="n"/>
      <c r="E44" s="544" t="n"/>
      <c r="F44" s="544" t="n"/>
      <c r="G44" s="544" t="n"/>
      <c r="H44" s="544" t="n"/>
      <c r="I44" s="9" t="n"/>
      <c r="J44" s="9" t="n"/>
    </row>
    <row r="45" ht="20.25" customHeight="1">
      <c r="A45" s="790" t="inlineStr">
        <is>
          <t>機　　器　　名　　称</t>
        </is>
      </c>
      <c r="B45" s="574" t="n"/>
      <c r="C45" s="580" t="n"/>
      <c r="D45" s="790" t="inlineStr">
        <is>
          <t>月</t>
        </is>
      </c>
      <c r="E45" s="790" t="inlineStr">
        <is>
          <t>火</t>
        </is>
      </c>
      <c r="F45" s="790" t="inlineStr">
        <is>
          <t>水</t>
        </is>
      </c>
      <c r="G45" s="790" t="inlineStr">
        <is>
          <t>木</t>
        </is>
      </c>
      <c r="H45" s="790" t="inlineStr">
        <is>
          <t>金</t>
        </is>
      </c>
      <c r="I45" s="9" t="n"/>
      <c r="J45" s="9" t="n"/>
    </row>
    <row r="46" ht="25" customHeight="1">
      <c r="A46" s="547" t="inlineStr">
        <is>
          <t xml:space="preserve">NO.1主ポンプ　　</t>
        </is>
      </c>
      <c r="B46" s="548" t="n"/>
      <c r="C46" s="549" t="inlineStr">
        <is>
          <t>hr</t>
        </is>
      </c>
      <c r="D46" s="975" t="n"/>
      <c r="E46" s="975" t="n"/>
      <c r="F46" s="975" t="n"/>
      <c r="G46" s="975" t="n"/>
      <c r="H46" s="975" t="n"/>
      <c r="I46" s="9" t="n"/>
      <c r="J46" s="9" t="n"/>
    </row>
    <row r="47" ht="25" customHeight="1">
      <c r="A47" s="547" t="inlineStr">
        <is>
          <t xml:space="preserve">NO.2主ポンプ　　</t>
        </is>
      </c>
      <c r="B47" s="548" t="n"/>
      <c r="C47" s="549" t="inlineStr">
        <is>
          <t>hr</t>
        </is>
      </c>
      <c r="D47" s="975" t="n"/>
      <c r="E47" s="975" t="n"/>
      <c r="F47" s="975" t="n"/>
      <c r="G47" s="975" t="n"/>
      <c r="H47" s="975" t="n"/>
      <c r="I47" s="9" t="n"/>
      <c r="J47" s="9" t="n"/>
    </row>
    <row r="48" ht="25" customHeight="1">
      <c r="A48" s="547" t="inlineStr">
        <is>
          <t xml:space="preserve">NO.1エアレーション装置　　</t>
        </is>
      </c>
      <c r="B48" s="548" t="n"/>
      <c r="C48" s="549" t="inlineStr">
        <is>
          <t>hr</t>
        </is>
      </c>
      <c r="D48" s="975" t="n"/>
      <c r="E48" s="975" t="n"/>
      <c r="F48" s="975" t="n"/>
      <c r="G48" s="975" t="n"/>
      <c r="H48" s="975" t="n"/>
      <c r="I48" s="9" t="n"/>
      <c r="J48" s="9" t="n"/>
    </row>
    <row r="49" ht="25" customHeight="1">
      <c r="A49" s="547" t="inlineStr">
        <is>
          <t xml:space="preserve">NO.2エアレーション装置　　</t>
        </is>
      </c>
      <c r="B49" s="548" t="n"/>
      <c r="C49" s="549" t="inlineStr">
        <is>
          <t>hr</t>
        </is>
      </c>
      <c r="D49" s="975" t="n"/>
      <c r="E49" s="975" t="n"/>
      <c r="F49" s="975" t="n"/>
      <c r="G49" s="975" t="n"/>
      <c r="H49" s="975" t="n"/>
      <c r="I49" s="9" t="n"/>
      <c r="J49" s="9" t="n"/>
    </row>
    <row r="50" ht="25" customHeight="1">
      <c r="A50" s="547" t="inlineStr">
        <is>
          <t xml:space="preserve">NO.3エアレーション装置　　</t>
        </is>
      </c>
      <c r="B50" s="548" t="n"/>
      <c r="C50" s="549" t="inlineStr">
        <is>
          <t>hr</t>
        </is>
      </c>
      <c r="D50" s="975" t="n"/>
      <c r="E50" s="975" t="n"/>
      <c r="F50" s="975" t="n"/>
      <c r="G50" s="975" t="n"/>
      <c r="H50" s="975" t="n"/>
      <c r="I50" s="9" t="n"/>
      <c r="J50" s="9" t="n"/>
    </row>
    <row r="51" ht="25" customHeight="1">
      <c r="A51" s="547" t="inlineStr">
        <is>
          <t xml:space="preserve">NO.4エアレーション装置　　</t>
        </is>
      </c>
      <c r="B51" s="548" t="n"/>
      <c r="C51" s="549" t="inlineStr">
        <is>
          <t>hr</t>
        </is>
      </c>
      <c r="D51" s="975" t="n"/>
      <c r="E51" s="975" t="n"/>
      <c r="F51" s="975" t="n"/>
      <c r="G51" s="975" t="n"/>
      <c r="H51" s="975" t="n"/>
      <c r="I51" s="9" t="n"/>
      <c r="J51" s="9" t="n"/>
    </row>
    <row r="52" ht="25" customHeight="1">
      <c r="A52" s="547" t="inlineStr">
        <is>
          <t xml:space="preserve">№1終沈汚泥かき寄せ機　　</t>
        </is>
      </c>
      <c r="B52" s="548" t="n"/>
      <c r="C52" s="549" t="inlineStr">
        <is>
          <t>hr</t>
        </is>
      </c>
      <c r="D52" s="975" t="n"/>
      <c r="E52" s="975" t="n"/>
      <c r="F52" s="975" t="n"/>
      <c r="G52" s="975" t="n"/>
      <c r="H52" s="975" t="n"/>
      <c r="I52" s="9" t="n"/>
      <c r="J52" s="9" t="n"/>
    </row>
    <row r="53" ht="25" customHeight="1">
      <c r="A53" s="547" t="inlineStr">
        <is>
          <t xml:space="preserve">№2終沈汚泥かき寄せ機　　</t>
        </is>
      </c>
      <c r="B53" s="548" t="n"/>
      <c r="C53" s="549" t="inlineStr">
        <is>
          <t>hr</t>
        </is>
      </c>
      <c r="D53" s="975" t="n"/>
      <c r="E53" s="975" t="n"/>
      <c r="F53" s="975" t="n"/>
      <c r="G53" s="975" t="n"/>
      <c r="H53" s="975" t="n"/>
      <c r="I53" s="9" t="n"/>
      <c r="J53" s="9" t="n"/>
    </row>
    <row r="54" ht="25" customHeight="1">
      <c r="A54" s="547" t="inlineStr">
        <is>
          <t xml:space="preserve">NO.1返送汚泥ポンプ </t>
        </is>
      </c>
      <c r="B54" s="548" t="n"/>
      <c r="C54" s="549" t="inlineStr">
        <is>
          <t>hr</t>
        </is>
      </c>
      <c r="D54" s="975" t="n"/>
      <c r="E54" s="975" t="n"/>
      <c r="F54" s="975" t="n"/>
      <c r="G54" s="975" t="n"/>
      <c r="H54" s="975" t="n"/>
      <c r="I54" s="9" t="n"/>
      <c r="J54" s="9" t="n"/>
    </row>
    <row r="55" ht="25" customHeight="1">
      <c r="A55" s="547" t="inlineStr">
        <is>
          <t xml:space="preserve">NO.2返送汚泥ポンプ </t>
        </is>
      </c>
      <c r="B55" s="548" t="n"/>
      <c r="C55" s="549" t="inlineStr">
        <is>
          <t>hr</t>
        </is>
      </c>
      <c r="D55" s="975" t="n"/>
      <c r="E55" s="975" t="n"/>
      <c r="F55" s="975" t="n"/>
      <c r="G55" s="975" t="n"/>
      <c r="H55" s="975" t="n"/>
      <c r="I55" s="9" t="n"/>
      <c r="J55" s="9" t="n"/>
    </row>
    <row r="56" ht="25" customHeight="1">
      <c r="A56" s="547" t="inlineStr">
        <is>
          <t xml:space="preserve">NO.3返送汚泥ポンプ </t>
        </is>
      </c>
      <c r="B56" s="548" t="n"/>
      <c r="C56" s="549" t="inlineStr">
        <is>
          <t>hr</t>
        </is>
      </c>
      <c r="D56" s="975" t="n"/>
      <c r="E56" s="975" t="n"/>
      <c r="F56" s="975" t="n"/>
      <c r="G56" s="975" t="n"/>
      <c r="H56" s="975" t="n"/>
      <c r="I56" s="9" t="n"/>
      <c r="J56" s="9" t="n"/>
    </row>
    <row r="57" ht="25" customHeight="1">
      <c r="A57" s="547" t="inlineStr">
        <is>
          <t xml:space="preserve">NO.4返送汚泥ポンプ </t>
        </is>
      </c>
      <c r="B57" s="548" t="n"/>
      <c r="C57" s="549" t="inlineStr">
        <is>
          <t>hr</t>
        </is>
      </c>
      <c r="D57" s="975" t="n"/>
      <c r="E57" s="975" t="n"/>
      <c r="F57" s="975" t="n"/>
      <c r="G57" s="975" t="n"/>
      <c r="H57" s="975" t="n"/>
      <c r="I57" s="9" t="n"/>
      <c r="J57" s="566" t="n"/>
    </row>
    <row r="58" ht="25" customHeight="1">
      <c r="A58" s="547" t="inlineStr">
        <is>
          <t xml:space="preserve">NO.1余剰汚泥ポンプ </t>
        </is>
      </c>
      <c r="B58" s="548" t="n"/>
      <c r="C58" s="549" t="inlineStr">
        <is>
          <t>hr</t>
        </is>
      </c>
      <c r="D58" s="975" t="n"/>
      <c r="E58" s="975" t="n"/>
      <c r="F58" s="975" t="n"/>
      <c r="G58" s="975" t="n"/>
      <c r="H58" s="975" t="n"/>
      <c r="I58" s="9" t="n"/>
      <c r="J58" s="9" t="n"/>
    </row>
    <row r="59" ht="25" customHeight="1">
      <c r="A59" s="547" t="inlineStr">
        <is>
          <t xml:space="preserve">NO.2余剰汚泥ポンプ </t>
        </is>
      </c>
      <c r="B59" s="548" t="n"/>
      <c r="C59" s="549" t="inlineStr">
        <is>
          <t>hr</t>
        </is>
      </c>
      <c r="D59" s="975" t="n"/>
      <c r="E59" s="975" t="n"/>
      <c r="F59" s="975" t="n"/>
      <c r="G59" s="975" t="n"/>
      <c r="H59" s="975" t="n"/>
      <c r="I59" s="9" t="n"/>
      <c r="J59" s="9" t="n"/>
    </row>
    <row r="60" ht="25" customHeight="1">
      <c r="A60" s="547" t="inlineStr">
        <is>
          <t xml:space="preserve">終沈室床排ポンプ </t>
        </is>
      </c>
      <c r="B60" s="548" t="n"/>
      <c r="C60" s="549" t="inlineStr">
        <is>
          <t>hr</t>
        </is>
      </c>
      <c r="D60" s="975" t="n"/>
      <c r="E60" s="975" t="n"/>
      <c r="F60" s="975" t="n"/>
      <c r="G60" s="975" t="n"/>
      <c r="H60" s="975" t="n"/>
      <c r="I60" s="9" t="n"/>
      <c r="J60" s="9" t="n"/>
    </row>
    <row r="61" ht="25" customHeight="1">
      <c r="A61" s="547" t="inlineStr">
        <is>
          <t xml:space="preserve">№1濃縮汚泥引抜ポンプ  </t>
        </is>
      </c>
      <c r="B61" s="548" t="n"/>
      <c r="C61" s="549" t="inlineStr">
        <is>
          <t>hr</t>
        </is>
      </c>
      <c r="D61" s="975" t="n"/>
      <c r="E61" s="975" t="n"/>
      <c r="F61" s="975" t="n"/>
      <c r="G61" s="975" t="n"/>
      <c r="H61" s="975" t="n"/>
      <c r="I61" s="9" t="n"/>
      <c r="J61" s="9" t="n"/>
    </row>
    <row r="62" ht="25" customHeight="1">
      <c r="A62" s="547" t="inlineStr">
        <is>
          <t xml:space="preserve">№2濃縮汚泥引抜ポンプ  </t>
        </is>
      </c>
      <c r="B62" s="548" t="n"/>
      <c r="C62" s="549" t="inlineStr">
        <is>
          <t>hr</t>
        </is>
      </c>
      <c r="D62" s="975" t="n"/>
      <c r="E62" s="975" t="n"/>
      <c r="F62" s="975" t="n"/>
      <c r="G62" s="975" t="n"/>
      <c r="H62" s="975" t="n"/>
      <c r="I62" s="9" t="n"/>
      <c r="J62" s="9" t="n"/>
    </row>
    <row r="63" ht="25" customHeight="1">
      <c r="A63" s="547" t="inlineStr">
        <is>
          <t xml:space="preserve">NO.1返流水ポンプ </t>
        </is>
      </c>
      <c r="B63" s="548" t="n"/>
      <c r="C63" s="549" t="inlineStr">
        <is>
          <t>hr</t>
        </is>
      </c>
      <c r="D63" s="975" t="n"/>
      <c r="E63" s="975" t="n"/>
      <c r="F63" s="975" t="n"/>
      <c r="G63" s="975" t="n"/>
      <c r="H63" s="975" t="n"/>
      <c r="I63" s="9" t="n"/>
      <c r="J63" s="9" t="n"/>
    </row>
    <row r="64" ht="25" customHeight="1">
      <c r="A64" s="547" t="inlineStr">
        <is>
          <t xml:space="preserve">NO.2返流水ポンプ </t>
        </is>
      </c>
      <c r="B64" s="548" t="n"/>
      <c r="C64" s="549" t="inlineStr">
        <is>
          <t>hr</t>
        </is>
      </c>
      <c r="D64" s="975" t="n"/>
      <c r="E64" s="975" t="n"/>
      <c r="F64" s="975" t="n"/>
      <c r="G64" s="975" t="n"/>
      <c r="H64" s="975" t="n"/>
      <c r="I64" s="9" t="n"/>
      <c r="J64" s="9" t="n"/>
    </row>
    <row r="65" ht="25" customHeight="1">
      <c r="A65" s="547" t="inlineStr">
        <is>
          <t xml:space="preserve">汚泥ポンプ室床排ポンプ </t>
        </is>
      </c>
      <c r="B65" s="548" t="n"/>
      <c r="C65" s="549" t="inlineStr">
        <is>
          <t>hr</t>
        </is>
      </c>
      <c r="D65" s="975" t="n"/>
      <c r="E65" s="975" t="n"/>
      <c r="F65" s="975" t="n"/>
      <c r="G65" s="975" t="n"/>
      <c r="H65" s="975" t="n"/>
      <c r="I65" s="9" t="n"/>
      <c r="J65" s="9" t="n"/>
    </row>
    <row r="66" ht="25" customHeight="1">
      <c r="A66" s="552" t="inlineStr">
        <is>
          <t>臭気ガス吸引装置</t>
        </is>
      </c>
      <c r="B66" s="553" t="n"/>
      <c r="C66" s="554" t="inlineStr">
        <is>
          <t>hr</t>
        </is>
      </c>
      <c r="D66" s="975" t="n"/>
      <c r="E66" s="975" t="n"/>
      <c r="F66" s="975" t="n"/>
      <c r="G66" s="975" t="n"/>
      <c r="H66" s="975" t="n"/>
      <c r="I66" s="9" t="n"/>
      <c r="J66" s="9" t="n"/>
    </row>
    <row r="67" ht="25" customHeight="1">
      <c r="A67" s="784" t="inlineStr">
        <is>
          <t>発電機</t>
        </is>
      </c>
      <c r="B67" s="574" t="n"/>
      <c r="C67" s="554" t="inlineStr">
        <is>
          <t>hr</t>
        </is>
      </c>
      <c r="D67" s="975" t="n"/>
      <c r="E67" s="975" t="n"/>
      <c r="F67" s="975" t="n"/>
      <c r="G67" s="975" t="n"/>
      <c r="H67" s="975" t="n"/>
      <c r="I67" s="9" t="n"/>
      <c r="J67" s="9" t="n"/>
    </row>
    <row r="68" ht="21" customHeight="1">
      <c r="A68" s="785" t="inlineStr">
        <is>
          <t>備考</t>
        </is>
      </c>
      <c r="B68" s="586" t="n"/>
      <c r="C68" s="555" t="n"/>
      <c r="D68" s="555" t="n"/>
      <c r="E68" s="555" t="n"/>
      <c r="F68" s="555" t="n"/>
      <c r="G68" s="555" t="n"/>
      <c r="H68" s="556" t="n"/>
      <c r="I68" s="9" t="n"/>
      <c r="J68" s="9" t="n"/>
    </row>
    <row r="69" ht="15.5" customHeight="1">
      <c r="A69" s="789" t="n"/>
      <c r="E69" s="544" t="n"/>
      <c r="F69" s="544" t="n"/>
      <c r="G69" s="544" t="n"/>
      <c r="H69" s="557" t="n"/>
      <c r="I69" s="9" t="n"/>
      <c r="J69" s="9" t="n"/>
    </row>
    <row r="70" ht="15.5" customHeight="1">
      <c r="A70" s="558" t="n"/>
      <c r="B70" s="300" t="n"/>
      <c r="C70" s="300" t="n"/>
      <c r="D70" s="559" t="n"/>
      <c r="E70" s="544" t="n"/>
      <c r="F70" s="544" t="n"/>
      <c r="G70" s="544" t="n"/>
      <c r="H70" s="557" t="n"/>
      <c r="I70" s="9" t="n"/>
      <c r="J70" s="9" t="n"/>
    </row>
    <row r="71" ht="15.5" customHeight="1">
      <c r="A71" s="560" t="n"/>
      <c r="B71" s="544" t="n"/>
      <c r="C71" s="544" t="n"/>
      <c r="D71" s="544" t="n"/>
      <c r="E71" s="544" t="n"/>
      <c r="F71" s="544" t="n"/>
      <c r="G71" s="544" t="n"/>
      <c r="H71" s="557" t="n"/>
      <c r="I71" s="9" t="n"/>
      <c r="J71" s="9" t="n"/>
    </row>
    <row r="72" ht="15.5" customHeight="1">
      <c r="A72" s="560" t="n"/>
      <c r="B72" s="544" t="n"/>
      <c r="C72" s="544" t="n"/>
      <c r="D72" s="544" t="n"/>
      <c r="E72" s="544" t="n"/>
      <c r="F72" s="544" t="n"/>
      <c r="G72" s="544" t="n"/>
      <c r="H72" s="557" t="n"/>
      <c r="I72" s="9" t="n"/>
      <c r="J72" s="9" t="n"/>
    </row>
    <row r="73" ht="15.5" customHeight="1">
      <c r="A73" s="560" t="n"/>
      <c r="B73" s="544" t="n"/>
      <c r="C73" s="544" t="n"/>
      <c r="D73" s="544" t="n"/>
      <c r="E73" s="544" t="n"/>
      <c r="F73" s="544" t="n"/>
      <c r="G73" s="544" t="n"/>
      <c r="H73" s="557" t="n"/>
      <c r="I73" s="9" t="n"/>
      <c r="J73" s="9" t="n"/>
    </row>
    <row r="74" ht="15" customHeight="1">
      <c r="A74" s="560" t="n"/>
      <c r="B74" s="544" t="n"/>
      <c r="C74" s="544" t="n"/>
      <c r="D74" s="544" t="n"/>
      <c r="E74" s="544" t="n"/>
      <c r="F74" s="544" t="n"/>
      <c r="G74" s="544" t="n"/>
      <c r="H74" s="557" t="n"/>
      <c r="I74" s="9" t="n"/>
      <c r="J74" s="9" t="n"/>
    </row>
    <row r="75" ht="15.5" customHeight="1">
      <c r="A75" s="561" t="n"/>
      <c r="B75" s="128" t="n"/>
      <c r="C75" s="128" t="n"/>
      <c r="D75" s="128" t="n"/>
      <c r="E75" s="128" t="n"/>
      <c r="F75" s="128" t="n"/>
      <c r="G75" s="128" t="n"/>
      <c r="H75" s="562" t="n"/>
      <c r="I75" s="9" t="n"/>
      <c r="J75" s="9" t="n"/>
    </row>
    <row r="76" ht="15.5" customHeight="1">
      <c r="A76" s="563" t="n"/>
      <c r="B76" s="564" t="n"/>
      <c r="C76" s="564" t="n"/>
      <c r="D76" s="564" t="n"/>
      <c r="E76" s="564" t="n"/>
      <c r="F76" s="564" t="n"/>
      <c r="G76" s="564" t="n"/>
      <c r="H76" s="565" t="n"/>
      <c r="I76" s="9" t="n"/>
      <c r="J76" s="9" t="n"/>
    </row>
    <row r="77" ht="23.25" customHeight="1">
      <c r="A77" s="971" t="inlineStr">
        <is>
          <t>筒　賀　水　質　管　理　セ　ン　ター</t>
        </is>
      </c>
      <c r="I77" s="9" t="n"/>
      <c r="J77" s="9" t="n"/>
    </row>
    <row r="78" ht="9" customHeight="1">
      <c r="A78" s="544" t="n"/>
      <c r="B78" s="544" t="n"/>
      <c r="C78" s="544" t="n"/>
      <c r="D78" s="544" t="n"/>
      <c r="E78" s="544" t="n"/>
      <c r="F78" s="544" t="n"/>
      <c r="G78" s="544" t="n"/>
      <c r="H78" s="544" t="n"/>
      <c r="I78" s="9" t="n"/>
      <c r="J78" s="9" t="n"/>
    </row>
    <row r="79" ht="18.75" customHeight="1">
      <c r="A79" s="972" t="inlineStr">
        <is>
          <t xml:space="preserve">主　要　機　器　運　転　時　間　</t>
        </is>
      </c>
      <c r="I79" s="9" t="n"/>
      <c r="J79" s="9" t="n"/>
    </row>
    <row r="80" ht="8.25" customHeight="1">
      <c r="A80" s="788" t="n"/>
      <c r="B80" s="788" t="n"/>
      <c r="C80" s="788" t="n"/>
      <c r="D80" s="788" t="n"/>
      <c r="E80" s="788" t="n"/>
      <c r="F80" s="788" t="n"/>
      <c r="G80" s="788" t="n"/>
      <c r="H80" s="788" t="n"/>
      <c r="I80" s="9" t="n"/>
      <c r="J80" s="9" t="n"/>
    </row>
    <row r="81" ht="18.75" customHeight="1">
      <c r="A81" s="973" t="n">
        <v>46097</v>
      </c>
      <c r="D81" s="974" t="inlineStr">
        <is>
          <t>～</t>
        </is>
      </c>
      <c r="F81" s="973">
        <f>A81+3</f>
        <v/>
      </c>
      <c r="I81" s="9" t="n"/>
      <c r="J81" s="9" t="n"/>
    </row>
    <row r="82" ht="18.75" customHeight="1">
      <c r="A82" s="544" t="n"/>
      <c r="B82" s="544" t="n"/>
      <c r="C82" s="544" t="n"/>
      <c r="D82" s="544" t="n"/>
      <c r="E82" s="544" t="n"/>
      <c r="F82" s="544" t="n"/>
      <c r="G82" s="544" t="n"/>
      <c r="H82" s="544" t="n"/>
      <c r="I82" s="9" t="n"/>
      <c r="J82" s="9" t="n"/>
    </row>
    <row r="83" ht="20.25" customHeight="1">
      <c r="A83" s="790" t="inlineStr">
        <is>
          <t>機　　器　　名　　称</t>
        </is>
      </c>
      <c r="B83" s="574" t="n"/>
      <c r="C83" s="580" t="n"/>
      <c r="D83" s="790" t="inlineStr">
        <is>
          <t>月</t>
        </is>
      </c>
      <c r="E83" s="790" t="inlineStr">
        <is>
          <t>火</t>
        </is>
      </c>
      <c r="F83" s="790" t="inlineStr">
        <is>
          <t>水</t>
        </is>
      </c>
      <c r="G83" s="790" t="inlineStr">
        <is>
          <t>木</t>
        </is>
      </c>
      <c r="H83" s="790" t="inlineStr">
        <is>
          <t>金</t>
        </is>
      </c>
      <c r="I83" s="9" t="n"/>
      <c r="J83" s="9" t="n"/>
    </row>
    <row r="84" ht="25" customHeight="1">
      <c r="A84" s="547" t="inlineStr">
        <is>
          <t xml:space="preserve">NO.1主ポンプ　　</t>
        </is>
      </c>
      <c r="B84" s="548" t="n"/>
      <c r="C84" s="549" t="inlineStr">
        <is>
          <t>hr</t>
        </is>
      </c>
      <c r="D84" s="975" t="n"/>
      <c r="E84" s="975" t="n"/>
      <c r="F84" s="975" t="n"/>
      <c r="G84" s="975" t="n"/>
      <c r="H84" s="975" t="n"/>
      <c r="I84" s="9" t="n"/>
      <c r="J84" s="9" t="n"/>
    </row>
    <row r="85" ht="25" customHeight="1">
      <c r="A85" s="547" t="inlineStr">
        <is>
          <t xml:space="preserve">NO.2主ポンプ　　</t>
        </is>
      </c>
      <c r="B85" s="548" t="n"/>
      <c r="C85" s="549" t="inlineStr">
        <is>
          <t>hr</t>
        </is>
      </c>
      <c r="D85" s="975" t="n"/>
      <c r="E85" s="975" t="n"/>
      <c r="F85" s="975" t="n"/>
      <c r="G85" s="975" t="n"/>
      <c r="H85" s="975" t="n"/>
      <c r="I85" s="9" t="n"/>
      <c r="J85" s="9" t="n"/>
    </row>
    <row r="86" ht="25" customHeight="1">
      <c r="A86" s="547" t="inlineStr">
        <is>
          <t xml:space="preserve">NO.1エアレーション装置　　</t>
        </is>
      </c>
      <c r="B86" s="548" t="n"/>
      <c r="C86" s="549" t="inlineStr">
        <is>
          <t>hr</t>
        </is>
      </c>
      <c r="D86" s="975" t="n"/>
      <c r="E86" s="975" t="n"/>
      <c r="F86" s="975" t="n"/>
      <c r="G86" s="975" t="n"/>
      <c r="H86" s="975" t="n"/>
      <c r="I86" s="9" t="n"/>
      <c r="J86" s="9" t="n"/>
    </row>
    <row r="87" ht="25" customHeight="1">
      <c r="A87" s="547" t="inlineStr">
        <is>
          <t xml:space="preserve">NO.2エアレーション装置　　</t>
        </is>
      </c>
      <c r="B87" s="548" t="n"/>
      <c r="C87" s="549" t="inlineStr">
        <is>
          <t>hr</t>
        </is>
      </c>
      <c r="D87" s="975" t="n"/>
      <c r="E87" s="975" t="n"/>
      <c r="F87" s="975" t="n"/>
      <c r="G87" s="975" t="n"/>
      <c r="H87" s="975" t="n"/>
      <c r="I87" s="9" t="n"/>
      <c r="J87" s="9" t="n"/>
    </row>
    <row r="88" ht="25" customHeight="1">
      <c r="A88" s="547" t="inlineStr">
        <is>
          <t xml:space="preserve">NO.3エアレーション装置　　</t>
        </is>
      </c>
      <c r="B88" s="548" t="n"/>
      <c r="C88" s="549" t="inlineStr">
        <is>
          <t>hr</t>
        </is>
      </c>
      <c r="D88" s="975" t="n"/>
      <c r="E88" s="975" t="n"/>
      <c r="F88" s="975" t="n"/>
      <c r="G88" s="975" t="n"/>
      <c r="H88" s="975" t="n"/>
      <c r="I88" s="9" t="n"/>
      <c r="J88" s="9" t="n"/>
    </row>
    <row r="89" ht="25" customHeight="1">
      <c r="A89" s="547" t="inlineStr">
        <is>
          <t xml:space="preserve">NO.4エアレーション装置　　</t>
        </is>
      </c>
      <c r="B89" s="548" t="n"/>
      <c r="C89" s="549" t="inlineStr">
        <is>
          <t>hr</t>
        </is>
      </c>
      <c r="D89" s="975" t="n"/>
      <c r="E89" s="975" t="n"/>
      <c r="F89" s="975" t="n"/>
      <c r="G89" s="975" t="n"/>
      <c r="H89" s="975" t="n"/>
      <c r="I89" s="9" t="n"/>
      <c r="J89" s="9" t="n"/>
    </row>
    <row r="90" ht="25" customHeight="1">
      <c r="A90" s="547" t="inlineStr">
        <is>
          <t xml:space="preserve">№1終沈汚泥かき寄せ機　　</t>
        </is>
      </c>
      <c r="B90" s="548" t="n"/>
      <c r="C90" s="549" t="inlineStr">
        <is>
          <t>hr</t>
        </is>
      </c>
      <c r="D90" s="975" t="n"/>
      <c r="E90" s="975" t="n"/>
      <c r="F90" s="975" t="n"/>
      <c r="G90" s="975" t="n"/>
      <c r="H90" s="975" t="n"/>
      <c r="I90" s="9" t="n"/>
      <c r="J90" s="9" t="n"/>
    </row>
    <row r="91" ht="25" customHeight="1">
      <c r="A91" s="547" t="inlineStr">
        <is>
          <t xml:space="preserve">№2終沈汚泥かき寄せ機　　</t>
        </is>
      </c>
      <c r="B91" s="548" t="n"/>
      <c r="C91" s="549" t="inlineStr">
        <is>
          <t>hr</t>
        </is>
      </c>
      <c r="D91" s="975" t="n"/>
      <c r="E91" s="975" t="n"/>
      <c r="F91" s="975" t="n"/>
      <c r="G91" s="975" t="n"/>
      <c r="H91" s="975" t="n"/>
      <c r="I91" s="9" t="n"/>
      <c r="J91" s="9" t="n"/>
    </row>
    <row r="92" ht="25" customHeight="1">
      <c r="A92" s="547" t="inlineStr">
        <is>
          <t xml:space="preserve">NO.1返送汚泥ポンプ </t>
        </is>
      </c>
      <c r="B92" s="548" t="n"/>
      <c r="C92" s="549" t="inlineStr">
        <is>
          <t>hr</t>
        </is>
      </c>
      <c r="D92" s="975" t="n"/>
      <c r="E92" s="975" t="n"/>
      <c r="F92" s="975" t="n"/>
      <c r="G92" s="975" t="n"/>
      <c r="H92" s="975" t="n"/>
      <c r="I92" s="9" t="n"/>
      <c r="J92" s="9" t="n"/>
    </row>
    <row r="93" ht="25" customHeight="1">
      <c r="A93" s="547" t="inlineStr">
        <is>
          <t xml:space="preserve">NO.2返送汚泥ポンプ </t>
        </is>
      </c>
      <c r="B93" s="548" t="n"/>
      <c r="C93" s="549" t="inlineStr">
        <is>
          <t>hr</t>
        </is>
      </c>
      <c r="D93" s="975" t="n"/>
      <c r="E93" s="975" t="n"/>
      <c r="F93" s="975" t="n"/>
      <c r="G93" s="975" t="n"/>
      <c r="H93" s="975" t="n"/>
      <c r="I93" s="9" t="n"/>
      <c r="J93" s="9" t="n"/>
    </row>
    <row r="94" ht="25" customHeight="1">
      <c r="A94" s="547" t="inlineStr">
        <is>
          <t xml:space="preserve">NO.3返送汚泥ポンプ </t>
        </is>
      </c>
      <c r="B94" s="548" t="n"/>
      <c r="C94" s="549" t="inlineStr">
        <is>
          <t>hr</t>
        </is>
      </c>
      <c r="D94" s="975" t="n"/>
      <c r="E94" s="975" t="n"/>
      <c r="F94" s="975" t="n"/>
      <c r="G94" s="975" t="n"/>
      <c r="H94" s="975" t="n"/>
      <c r="I94" s="9" t="n"/>
      <c r="J94" s="9" t="n"/>
    </row>
    <row r="95" ht="25" customHeight="1">
      <c r="A95" s="547" t="inlineStr">
        <is>
          <t xml:space="preserve">NO.4返送汚泥ポンプ </t>
        </is>
      </c>
      <c r="B95" s="548" t="n"/>
      <c r="C95" s="549" t="inlineStr">
        <is>
          <t>hr</t>
        </is>
      </c>
      <c r="D95" s="975" t="n"/>
      <c r="E95" s="975" t="n"/>
      <c r="F95" s="975" t="n"/>
      <c r="G95" s="975" t="n"/>
      <c r="H95" s="975" t="n"/>
      <c r="I95" s="9" t="n"/>
      <c r="J95" s="566" t="n"/>
    </row>
    <row r="96" ht="25" customHeight="1">
      <c r="A96" s="547" t="inlineStr">
        <is>
          <t xml:space="preserve">NO.1余剰汚泥ポンプ </t>
        </is>
      </c>
      <c r="B96" s="548" t="n"/>
      <c r="C96" s="549" t="inlineStr">
        <is>
          <t>hr</t>
        </is>
      </c>
      <c r="D96" s="975" t="n"/>
      <c r="E96" s="975" t="n"/>
      <c r="F96" s="975" t="n"/>
      <c r="G96" s="975" t="n"/>
      <c r="H96" s="975" t="n"/>
      <c r="I96" s="9" t="n"/>
      <c r="J96" s="9" t="n"/>
    </row>
    <row r="97" ht="25" customHeight="1">
      <c r="A97" s="547" t="inlineStr">
        <is>
          <t xml:space="preserve">NO.2余剰汚泥ポンプ </t>
        </is>
      </c>
      <c r="B97" s="548" t="n"/>
      <c r="C97" s="549" t="inlineStr">
        <is>
          <t>hr</t>
        </is>
      </c>
      <c r="D97" s="975" t="n"/>
      <c r="E97" s="975" t="n"/>
      <c r="F97" s="975" t="n"/>
      <c r="G97" s="975" t="n"/>
      <c r="H97" s="975" t="n"/>
      <c r="I97" s="9" t="n"/>
      <c r="J97" s="9" t="n"/>
    </row>
    <row r="98" ht="25" customHeight="1">
      <c r="A98" s="547" t="inlineStr">
        <is>
          <t xml:space="preserve">終沈室床排ポンプ </t>
        </is>
      </c>
      <c r="B98" s="548" t="n"/>
      <c r="C98" s="549" t="inlineStr">
        <is>
          <t>hr</t>
        </is>
      </c>
      <c r="D98" s="975" t="n"/>
      <c r="E98" s="975" t="n"/>
      <c r="F98" s="975" t="n"/>
      <c r="G98" s="975" t="n"/>
      <c r="H98" s="975" t="n"/>
      <c r="I98" s="9" t="n"/>
      <c r="J98" s="9" t="n"/>
    </row>
    <row r="99" ht="25" customHeight="1">
      <c r="A99" s="547" t="inlineStr">
        <is>
          <t xml:space="preserve">№1濃縮汚泥引抜ポンプ  </t>
        </is>
      </c>
      <c r="B99" s="548" t="n"/>
      <c r="C99" s="549" t="inlineStr">
        <is>
          <t>hr</t>
        </is>
      </c>
      <c r="D99" s="975" t="n"/>
      <c r="E99" s="975" t="n"/>
      <c r="F99" s="975" t="n"/>
      <c r="G99" s="975" t="n"/>
      <c r="H99" s="975" t="n"/>
      <c r="I99" s="9" t="n"/>
      <c r="J99" s="9" t="n"/>
    </row>
    <row r="100" ht="25" customHeight="1">
      <c r="A100" s="547" t="inlineStr">
        <is>
          <t xml:space="preserve">№2濃縮汚泥引抜ポンプ  </t>
        </is>
      </c>
      <c r="B100" s="548" t="n"/>
      <c r="C100" s="549" t="inlineStr">
        <is>
          <t>hr</t>
        </is>
      </c>
      <c r="D100" s="975" t="n"/>
      <c r="E100" s="975" t="n"/>
      <c r="F100" s="975" t="n"/>
      <c r="G100" s="975" t="n"/>
      <c r="H100" s="975" t="n"/>
      <c r="I100" s="9" t="n"/>
      <c r="J100" s="9" t="n"/>
    </row>
    <row r="101" ht="25" customHeight="1">
      <c r="A101" s="547" t="inlineStr">
        <is>
          <t xml:space="preserve">NO.1返流水ポンプ </t>
        </is>
      </c>
      <c r="B101" s="548" t="n"/>
      <c r="C101" s="549" t="inlineStr">
        <is>
          <t>hr</t>
        </is>
      </c>
      <c r="D101" s="975" t="n"/>
      <c r="E101" s="975" t="n"/>
      <c r="F101" s="975" t="n"/>
      <c r="G101" s="975" t="n"/>
      <c r="H101" s="975" t="n"/>
      <c r="I101" s="9" t="n"/>
      <c r="J101" s="9" t="n"/>
    </row>
    <row r="102" ht="25" customHeight="1">
      <c r="A102" s="547" t="inlineStr">
        <is>
          <t xml:space="preserve">NO.2返流水ポンプ </t>
        </is>
      </c>
      <c r="B102" s="548" t="n"/>
      <c r="C102" s="549" t="inlineStr">
        <is>
          <t>hr</t>
        </is>
      </c>
      <c r="D102" s="975" t="n"/>
      <c r="E102" s="975" t="n"/>
      <c r="F102" s="975" t="n"/>
      <c r="G102" s="975" t="n"/>
      <c r="H102" s="975" t="n"/>
      <c r="I102" s="9" t="n"/>
      <c r="J102" s="9" t="n"/>
    </row>
    <row r="103" ht="25" customHeight="1">
      <c r="A103" s="547" t="inlineStr">
        <is>
          <t xml:space="preserve">汚泥ポンプ室床排ポンプ </t>
        </is>
      </c>
      <c r="B103" s="548" t="n"/>
      <c r="C103" s="549" t="inlineStr">
        <is>
          <t>hr</t>
        </is>
      </c>
      <c r="D103" s="975" t="n"/>
      <c r="E103" s="975" t="n"/>
      <c r="F103" s="975" t="n"/>
      <c r="G103" s="975" t="n"/>
      <c r="H103" s="975" t="n"/>
      <c r="I103" s="9" t="n"/>
      <c r="J103" s="9" t="n"/>
    </row>
    <row r="104" ht="25" customHeight="1">
      <c r="A104" s="552" t="inlineStr">
        <is>
          <t>臭気ガス吸引装置</t>
        </is>
      </c>
      <c r="B104" s="553" t="n"/>
      <c r="C104" s="554" t="inlineStr">
        <is>
          <t>hr</t>
        </is>
      </c>
      <c r="D104" s="975" t="n"/>
      <c r="E104" s="975" t="n"/>
      <c r="F104" s="975" t="n"/>
      <c r="G104" s="975" t="n"/>
      <c r="H104" s="975" t="n"/>
      <c r="I104" s="9" t="n"/>
      <c r="J104" s="9" t="n"/>
    </row>
    <row r="105" ht="25" customHeight="1">
      <c r="A105" s="784" t="inlineStr">
        <is>
          <t>発電機</t>
        </is>
      </c>
      <c r="B105" s="574" t="n"/>
      <c r="C105" s="554" t="inlineStr">
        <is>
          <t>hr</t>
        </is>
      </c>
      <c r="D105" s="975" t="n"/>
      <c r="E105" s="975" t="n"/>
      <c r="F105" s="975" t="n"/>
      <c r="G105" s="975" t="n"/>
      <c r="H105" s="975" t="n"/>
      <c r="I105" s="9" t="n"/>
      <c r="J105" s="9" t="n"/>
    </row>
    <row r="106" ht="21" customHeight="1">
      <c r="A106" s="785" t="inlineStr">
        <is>
          <t>備考</t>
        </is>
      </c>
      <c r="B106" s="586" t="n"/>
      <c r="C106" s="555" t="n"/>
      <c r="D106" s="555" t="n"/>
      <c r="E106" s="555" t="n"/>
      <c r="F106" s="555" t="n"/>
      <c r="G106" s="555" t="n"/>
      <c r="H106" s="556" t="n"/>
      <c r="I106" s="9" t="n"/>
      <c r="J106" s="9" t="n"/>
    </row>
    <row r="107" ht="15.5" customHeight="1">
      <c r="A107" s="789" t="n"/>
      <c r="E107" s="544" t="n"/>
      <c r="F107" s="544" t="n"/>
      <c r="G107" s="544" t="n"/>
      <c r="H107" s="557" t="n"/>
      <c r="I107" s="9" t="n"/>
      <c r="J107" s="9" t="n"/>
    </row>
    <row r="108" ht="15.5" customHeight="1">
      <c r="A108" s="558" t="n"/>
      <c r="B108" s="300" t="n"/>
      <c r="C108" s="300" t="n"/>
      <c r="D108" s="559" t="n"/>
      <c r="E108" s="544" t="n"/>
      <c r="F108" s="544" t="n"/>
      <c r="G108" s="544" t="n"/>
      <c r="H108" s="557" t="n"/>
      <c r="I108" s="9" t="n"/>
      <c r="J108" s="9" t="n"/>
    </row>
    <row r="109" ht="15.5" customHeight="1">
      <c r="A109" s="560" t="n"/>
      <c r="B109" s="544" t="n"/>
      <c r="C109" s="544" t="n"/>
      <c r="D109" s="544" t="n"/>
      <c r="E109" s="544" t="n"/>
      <c r="F109" s="544" t="n"/>
      <c r="G109" s="544" t="n"/>
      <c r="H109" s="557" t="n"/>
      <c r="I109" s="9" t="n"/>
      <c r="J109" s="9" t="n"/>
    </row>
    <row r="110" ht="15.5" customHeight="1">
      <c r="A110" s="560" t="n"/>
      <c r="B110" s="544" t="n"/>
      <c r="C110" s="544" t="n"/>
      <c r="D110" s="544" t="n"/>
      <c r="E110" s="544" t="n"/>
      <c r="F110" s="544" t="n"/>
      <c r="G110" s="544" t="n"/>
      <c r="H110" s="557" t="n"/>
      <c r="I110" s="9" t="n"/>
      <c r="J110" s="9" t="n"/>
    </row>
    <row r="111" ht="15.5" customHeight="1">
      <c r="A111" s="560" t="n"/>
      <c r="B111" s="544" t="n"/>
      <c r="C111" s="544" t="n"/>
      <c r="D111" s="544" t="n"/>
      <c r="E111" s="544" t="n"/>
      <c r="F111" s="544" t="n"/>
      <c r="G111" s="544" t="n"/>
      <c r="H111" s="557" t="n"/>
      <c r="I111" s="9" t="n"/>
      <c r="J111" s="9" t="n"/>
    </row>
    <row r="112" ht="15" customHeight="1">
      <c r="A112" s="560" t="n"/>
      <c r="B112" s="544" t="n"/>
      <c r="C112" s="544" t="n"/>
      <c r="D112" s="544" t="n"/>
      <c r="E112" s="544" t="n"/>
      <c r="F112" s="544" t="n"/>
      <c r="G112" s="544" t="n"/>
      <c r="H112" s="557" t="n"/>
      <c r="I112" s="9" t="n"/>
      <c r="J112" s="9" t="n"/>
    </row>
    <row r="113" ht="15.5" customHeight="1">
      <c r="A113" s="561" t="n"/>
      <c r="B113" s="128" t="n"/>
      <c r="C113" s="128" t="n"/>
      <c r="D113" s="128" t="n"/>
      <c r="E113" s="128" t="n"/>
      <c r="F113" s="128" t="n"/>
      <c r="G113" s="128" t="n"/>
      <c r="H113" s="562" t="n"/>
      <c r="I113" s="9" t="n"/>
      <c r="J113" s="9" t="n"/>
    </row>
    <row r="114" ht="15.5" customHeight="1">
      <c r="A114" s="563" t="n"/>
      <c r="B114" s="564" t="n"/>
      <c r="C114" s="564" t="n"/>
      <c r="D114" s="564" t="n"/>
      <c r="E114" s="564" t="n"/>
      <c r="F114" s="564" t="n"/>
      <c r="G114" s="564" t="n"/>
      <c r="H114" s="565" t="n"/>
      <c r="I114" s="9" t="n"/>
      <c r="J114" s="9" t="n"/>
    </row>
    <row r="115" ht="23.25" customHeight="1">
      <c r="A115" s="971" t="inlineStr">
        <is>
          <t>筒　賀　水　質　管　理　セ　ン　ター</t>
        </is>
      </c>
      <c r="I115" s="9" t="n"/>
      <c r="J115" s="9" t="n"/>
    </row>
    <row r="116" ht="9" customHeight="1">
      <c r="A116" s="544" t="n"/>
      <c r="B116" s="544" t="n"/>
      <c r="C116" s="544" t="n"/>
      <c r="D116" s="544" t="n"/>
      <c r="E116" s="544" t="n"/>
      <c r="F116" s="544" t="n"/>
      <c r="G116" s="544" t="n"/>
      <c r="H116" s="544" t="n"/>
      <c r="I116" s="9" t="n"/>
      <c r="J116" s="9" t="n"/>
    </row>
    <row r="117" ht="18.75" customHeight="1">
      <c r="A117" s="972" t="inlineStr">
        <is>
          <t xml:space="preserve">主　要　機　器　運　転　時　間　</t>
        </is>
      </c>
      <c r="I117" s="9" t="n"/>
      <c r="J117" s="9" t="n"/>
    </row>
    <row r="118" ht="8.25" customHeight="1">
      <c r="A118" s="788" t="n"/>
      <c r="B118" s="788" t="n"/>
      <c r="C118" s="788" t="n"/>
      <c r="D118" s="788" t="n"/>
      <c r="E118" s="788" t="n"/>
      <c r="F118" s="788" t="n"/>
      <c r="G118" s="788" t="n"/>
      <c r="H118" s="788" t="n"/>
      <c r="I118" s="9" t="n"/>
      <c r="J118" s="9" t="n"/>
    </row>
    <row r="119" ht="18.75" customHeight="1">
      <c r="A119" s="973" t="n">
        <v>46104</v>
      </c>
      <c r="D119" s="974" t="inlineStr">
        <is>
          <t>～</t>
        </is>
      </c>
      <c r="F119" s="973">
        <f>A119+4</f>
        <v/>
      </c>
      <c r="I119" s="9" t="n"/>
      <c r="J119" s="9" t="n"/>
    </row>
    <row r="120" ht="18.75" customHeight="1">
      <c r="A120" s="544" t="n"/>
      <c r="B120" s="544" t="n"/>
      <c r="C120" s="544" t="n"/>
      <c r="D120" s="544" t="n"/>
      <c r="E120" s="544" t="n"/>
      <c r="F120" s="544" t="n"/>
      <c r="G120" s="544" t="n"/>
      <c r="H120" s="544" t="n"/>
      <c r="I120" s="9" t="n"/>
      <c r="J120" s="9" t="n"/>
    </row>
    <row r="121" ht="20.25" customHeight="1">
      <c r="A121" s="790" t="inlineStr">
        <is>
          <t>機　　器　　名　　称</t>
        </is>
      </c>
      <c r="B121" s="574" t="n"/>
      <c r="C121" s="580" t="n"/>
      <c r="D121" s="790" t="inlineStr">
        <is>
          <t>月</t>
        </is>
      </c>
      <c r="E121" s="790" t="inlineStr">
        <is>
          <t>火</t>
        </is>
      </c>
      <c r="F121" s="790" t="inlineStr">
        <is>
          <t>水</t>
        </is>
      </c>
      <c r="G121" s="790" t="inlineStr">
        <is>
          <t>木</t>
        </is>
      </c>
      <c r="H121" s="790" t="inlineStr">
        <is>
          <t>金</t>
        </is>
      </c>
      <c r="I121" s="9" t="n"/>
      <c r="J121" s="9" t="n"/>
    </row>
    <row r="122" ht="25" customHeight="1">
      <c r="A122" s="547" t="inlineStr">
        <is>
          <t xml:space="preserve">NO.1主ポンプ　　</t>
        </is>
      </c>
      <c r="B122" s="548" t="n"/>
      <c r="C122" s="549" t="inlineStr">
        <is>
          <t>hr</t>
        </is>
      </c>
      <c r="D122" s="975" t="n"/>
      <c r="E122" s="975" t="n"/>
      <c r="F122" s="975" t="n"/>
      <c r="G122" s="975" t="n"/>
      <c r="H122" s="975" t="n"/>
      <c r="I122" s="9" t="n"/>
      <c r="J122" s="9" t="n"/>
    </row>
    <row r="123" ht="25" customHeight="1">
      <c r="A123" s="547" t="inlineStr">
        <is>
          <t xml:space="preserve">NO.2主ポンプ　　</t>
        </is>
      </c>
      <c r="B123" s="548" t="n"/>
      <c r="C123" s="549" t="inlineStr">
        <is>
          <t>hr</t>
        </is>
      </c>
      <c r="D123" s="975" t="n"/>
      <c r="E123" s="975" t="n"/>
      <c r="F123" s="975" t="n"/>
      <c r="G123" s="975" t="n"/>
      <c r="H123" s="975" t="n"/>
      <c r="I123" s="9" t="n"/>
      <c r="J123" s="9" t="n"/>
    </row>
    <row r="124" ht="25" customHeight="1">
      <c r="A124" s="547" t="inlineStr">
        <is>
          <t xml:space="preserve">NO.1エアレーション装置　　</t>
        </is>
      </c>
      <c r="B124" s="548" t="n"/>
      <c r="C124" s="549" t="inlineStr">
        <is>
          <t>hr</t>
        </is>
      </c>
      <c r="D124" s="975" t="n"/>
      <c r="E124" s="975" t="n"/>
      <c r="F124" s="975" t="n"/>
      <c r="G124" s="975" t="n"/>
      <c r="H124" s="975" t="n"/>
      <c r="I124" s="9" t="n"/>
      <c r="J124" s="9" t="n"/>
    </row>
    <row r="125" ht="25" customHeight="1">
      <c r="A125" s="547" t="inlineStr">
        <is>
          <t xml:space="preserve">NO.2エアレーション装置　　</t>
        </is>
      </c>
      <c r="B125" s="548" t="n"/>
      <c r="C125" s="549" t="inlineStr">
        <is>
          <t>hr</t>
        </is>
      </c>
      <c r="D125" s="975" t="n"/>
      <c r="E125" s="975" t="n"/>
      <c r="F125" s="975" t="n"/>
      <c r="G125" s="975" t="n"/>
      <c r="H125" s="975" t="n"/>
      <c r="I125" s="9" t="n"/>
      <c r="J125" s="9" t="n"/>
    </row>
    <row r="126" ht="25" customHeight="1">
      <c r="A126" s="547" t="inlineStr">
        <is>
          <t xml:space="preserve">NO.3エアレーション装置　　</t>
        </is>
      </c>
      <c r="B126" s="548" t="n"/>
      <c r="C126" s="549" t="inlineStr">
        <is>
          <t>hr</t>
        </is>
      </c>
      <c r="D126" s="975" t="n"/>
      <c r="E126" s="975" t="n"/>
      <c r="F126" s="975" t="n"/>
      <c r="G126" s="975" t="n"/>
      <c r="H126" s="975" t="n"/>
      <c r="I126" s="9" t="n"/>
      <c r="J126" s="9" t="n"/>
    </row>
    <row r="127" ht="25" customHeight="1">
      <c r="A127" s="547" t="inlineStr">
        <is>
          <t xml:space="preserve">NO.4エアレーション装置　　</t>
        </is>
      </c>
      <c r="B127" s="548" t="n"/>
      <c r="C127" s="549" t="inlineStr">
        <is>
          <t>hr</t>
        </is>
      </c>
      <c r="D127" s="975" t="n"/>
      <c r="E127" s="975" t="n"/>
      <c r="F127" s="975" t="n"/>
      <c r="G127" s="975" t="n"/>
      <c r="H127" s="975" t="n"/>
      <c r="I127" s="9" t="n"/>
      <c r="J127" s="9" t="n"/>
    </row>
    <row r="128" ht="25" customHeight="1">
      <c r="A128" s="547" t="inlineStr">
        <is>
          <t xml:space="preserve">№1終沈汚泥かき寄せ機　　</t>
        </is>
      </c>
      <c r="B128" s="548" t="n"/>
      <c r="C128" s="549" t="inlineStr">
        <is>
          <t>hr</t>
        </is>
      </c>
      <c r="D128" s="975" t="n"/>
      <c r="E128" s="975" t="n"/>
      <c r="F128" s="975" t="n"/>
      <c r="G128" s="975" t="n"/>
      <c r="H128" s="975" t="n"/>
      <c r="I128" s="9" t="n"/>
      <c r="J128" s="9" t="n"/>
    </row>
    <row r="129" ht="25" customHeight="1">
      <c r="A129" s="547" t="inlineStr">
        <is>
          <t xml:space="preserve">№2終沈汚泥かき寄せ機　　</t>
        </is>
      </c>
      <c r="B129" s="548" t="n"/>
      <c r="C129" s="549" t="inlineStr">
        <is>
          <t>hr</t>
        </is>
      </c>
      <c r="D129" s="975" t="n"/>
      <c r="E129" s="975" t="n"/>
      <c r="F129" s="975" t="n"/>
      <c r="G129" s="975" t="n"/>
      <c r="H129" s="975" t="n"/>
      <c r="I129" s="9" t="n"/>
      <c r="J129" s="9" t="n"/>
    </row>
    <row r="130" ht="25" customHeight="1">
      <c r="A130" s="547" t="inlineStr">
        <is>
          <t xml:space="preserve">NO.1返送汚泥ポンプ </t>
        </is>
      </c>
      <c r="B130" s="548" t="n"/>
      <c r="C130" s="549" t="inlineStr">
        <is>
          <t>hr</t>
        </is>
      </c>
      <c r="D130" s="975" t="n"/>
      <c r="E130" s="975" t="n"/>
      <c r="F130" s="975" t="n"/>
      <c r="G130" s="975" t="n"/>
      <c r="H130" s="975" t="n"/>
      <c r="I130" s="9" t="n"/>
      <c r="J130" s="9" t="n"/>
    </row>
    <row r="131" ht="25" customHeight="1">
      <c r="A131" s="547" t="inlineStr">
        <is>
          <t xml:space="preserve">NO.2返送汚泥ポンプ </t>
        </is>
      </c>
      <c r="B131" s="548" t="n"/>
      <c r="C131" s="549" t="inlineStr">
        <is>
          <t>hr</t>
        </is>
      </c>
      <c r="D131" s="975" t="n"/>
      <c r="E131" s="975" t="n"/>
      <c r="F131" s="975" t="n"/>
      <c r="G131" s="975" t="n"/>
      <c r="H131" s="975" t="n"/>
      <c r="I131" s="9" t="n"/>
      <c r="J131" s="9" t="n"/>
    </row>
    <row r="132" ht="25" customHeight="1">
      <c r="A132" s="547" t="inlineStr">
        <is>
          <t xml:space="preserve">NO.3返送汚泥ポンプ </t>
        </is>
      </c>
      <c r="B132" s="548" t="n"/>
      <c r="C132" s="549" t="inlineStr">
        <is>
          <t>hr</t>
        </is>
      </c>
      <c r="D132" s="975" t="n"/>
      <c r="E132" s="975" t="n"/>
      <c r="F132" s="975" t="n"/>
      <c r="G132" s="975" t="n"/>
      <c r="H132" s="975" t="n"/>
      <c r="I132" s="9" t="n"/>
      <c r="J132" s="9" t="n"/>
    </row>
    <row r="133" ht="25" customHeight="1">
      <c r="A133" s="547" t="inlineStr">
        <is>
          <t xml:space="preserve">NO.4返送汚泥ポンプ </t>
        </is>
      </c>
      <c r="B133" s="548" t="n"/>
      <c r="C133" s="549" t="inlineStr">
        <is>
          <t>hr</t>
        </is>
      </c>
      <c r="D133" s="975" t="n"/>
      <c r="E133" s="975" t="n"/>
      <c r="F133" s="975" t="n"/>
      <c r="G133" s="975" t="n"/>
      <c r="H133" s="975" t="n"/>
      <c r="I133" s="9" t="n"/>
      <c r="J133" s="566" t="n"/>
    </row>
    <row r="134" ht="25" customHeight="1">
      <c r="A134" s="547" t="inlineStr">
        <is>
          <t xml:space="preserve">NO.1余剰汚泥ポンプ </t>
        </is>
      </c>
      <c r="B134" s="548" t="n"/>
      <c r="C134" s="549" t="inlineStr">
        <is>
          <t>hr</t>
        </is>
      </c>
      <c r="D134" s="975" t="n"/>
      <c r="E134" s="975" t="n"/>
      <c r="F134" s="975" t="n"/>
      <c r="G134" s="975" t="n"/>
      <c r="H134" s="975" t="n"/>
      <c r="I134" s="9" t="n"/>
      <c r="J134" s="9" t="n"/>
    </row>
    <row r="135" ht="25" customHeight="1">
      <c r="A135" s="547" t="inlineStr">
        <is>
          <t xml:space="preserve">NO.2余剰汚泥ポンプ </t>
        </is>
      </c>
      <c r="B135" s="548" t="n"/>
      <c r="C135" s="549" t="inlineStr">
        <is>
          <t>hr</t>
        </is>
      </c>
      <c r="D135" s="975" t="n"/>
      <c r="E135" s="975" t="n"/>
      <c r="F135" s="975" t="n"/>
      <c r="G135" s="975" t="n"/>
      <c r="H135" s="975" t="n"/>
      <c r="I135" s="9" t="n"/>
      <c r="J135" s="9" t="n"/>
    </row>
    <row r="136" ht="25" customHeight="1">
      <c r="A136" s="547" t="inlineStr">
        <is>
          <t xml:space="preserve">終沈室床排ポンプ </t>
        </is>
      </c>
      <c r="B136" s="548" t="n"/>
      <c r="C136" s="549" t="inlineStr">
        <is>
          <t>hr</t>
        </is>
      </c>
      <c r="D136" s="975" t="n"/>
      <c r="E136" s="975" t="n"/>
      <c r="F136" s="975" t="n"/>
      <c r="G136" s="975" t="n"/>
      <c r="H136" s="975" t="n"/>
      <c r="I136" s="9" t="n"/>
      <c r="J136" s="9" t="n"/>
    </row>
    <row r="137" ht="25" customHeight="1">
      <c r="A137" s="547" t="inlineStr">
        <is>
          <t xml:space="preserve">№1濃縮汚泥引抜ポンプ  </t>
        </is>
      </c>
      <c r="B137" s="548" t="n"/>
      <c r="C137" s="549" t="inlineStr">
        <is>
          <t>hr</t>
        </is>
      </c>
      <c r="D137" s="975" t="n"/>
      <c r="E137" s="975" t="n"/>
      <c r="F137" s="975" t="n"/>
      <c r="G137" s="975" t="n"/>
      <c r="H137" s="975" t="n"/>
      <c r="I137" s="9" t="n"/>
      <c r="J137" s="9" t="n"/>
    </row>
    <row r="138" ht="25" customHeight="1">
      <c r="A138" s="547" t="inlineStr">
        <is>
          <t xml:space="preserve">№2濃縮汚泥引抜ポンプ  </t>
        </is>
      </c>
      <c r="B138" s="548" t="n"/>
      <c r="C138" s="549" t="inlineStr">
        <is>
          <t>hr</t>
        </is>
      </c>
      <c r="D138" s="975" t="n"/>
      <c r="E138" s="975" t="n"/>
      <c r="F138" s="975" t="n"/>
      <c r="G138" s="975" t="n"/>
      <c r="H138" s="975" t="n"/>
      <c r="I138" s="9" t="n"/>
      <c r="J138" s="9" t="n"/>
    </row>
    <row r="139" ht="25" customHeight="1">
      <c r="A139" s="547" t="inlineStr">
        <is>
          <t xml:space="preserve">NO.1返流水ポンプ </t>
        </is>
      </c>
      <c r="B139" s="548" t="n"/>
      <c r="C139" s="549" t="inlineStr">
        <is>
          <t>hr</t>
        </is>
      </c>
      <c r="D139" s="975" t="n"/>
      <c r="E139" s="975" t="n"/>
      <c r="F139" s="975" t="n"/>
      <c r="G139" s="975" t="n"/>
      <c r="H139" s="975" t="n"/>
      <c r="I139" s="9" t="n"/>
      <c r="J139" s="9" t="n"/>
    </row>
    <row r="140" ht="25" customHeight="1">
      <c r="A140" s="547" t="inlineStr">
        <is>
          <t xml:space="preserve">NO.2返流水ポンプ </t>
        </is>
      </c>
      <c r="B140" s="548" t="n"/>
      <c r="C140" s="549" t="inlineStr">
        <is>
          <t>hr</t>
        </is>
      </c>
      <c r="D140" s="975" t="n"/>
      <c r="E140" s="975" t="n"/>
      <c r="F140" s="975" t="n"/>
      <c r="G140" s="975" t="n"/>
      <c r="H140" s="975" t="n"/>
      <c r="I140" s="9" t="n"/>
      <c r="J140" s="9" t="n"/>
    </row>
    <row r="141" ht="25" customHeight="1">
      <c r="A141" s="547" t="inlineStr">
        <is>
          <t xml:space="preserve">汚泥ポンプ室床排ポンプ </t>
        </is>
      </c>
      <c r="B141" s="548" t="n"/>
      <c r="C141" s="549" t="inlineStr">
        <is>
          <t>hr</t>
        </is>
      </c>
      <c r="D141" s="975" t="n"/>
      <c r="E141" s="975" t="n"/>
      <c r="F141" s="975" t="n"/>
      <c r="G141" s="975" t="n"/>
      <c r="H141" s="975" t="n"/>
      <c r="I141" s="9" t="n"/>
      <c r="J141" s="9" t="n"/>
    </row>
    <row r="142" ht="25" customHeight="1">
      <c r="A142" s="552" t="inlineStr">
        <is>
          <t>臭気ガス吸引装置</t>
        </is>
      </c>
      <c r="B142" s="553" t="n"/>
      <c r="C142" s="554" t="inlineStr">
        <is>
          <t>hr</t>
        </is>
      </c>
      <c r="D142" s="975" t="n"/>
      <c r="E142" s="975" t="n"/>
      <c r="F142" s="975" t="n"/>
      <c r="G142" s="975" t="n"/>
      <c r="H142" s="975" t="n"/>
      <c r="I142" s="9" t="n"/>
      <c r="J142" s="9" t="n"/>
    </row>
    <row r="143" ht="25" customHeight="1">
      <c r="A143" s="784" t="inlineStr">
        <is>
          <t>発電機</t>
        </is>
      </c>
      <c r="B143" s="574" t="n"/>
      <c r="C143" s="554" t="inlineStr">
        <is>
          <t>hr</t>
        </is>
      </c>
      <c r="D143" s="975" t="n"/>
      <c r="E143" s="975" t="n"/>
      <c r="F143" s="975" t="n"/>
      <c r="G143" s="975" t="n"/>
      <c r="H143" s="975" t="n"/>
      <c r="I143" s="9" t="n"/>
      <c r="J143" s="9" t="n"/>
    </row>
    <row r="144" ht="21" customHeight="1">
      <c r="A144" s="785" t="inlineStr">
        <is>
          <t>備考</t>
        </is>
      </c>
      <c r="B144" s="586" t="n"/>
      <c r="C144" s="555" t="n"/>
      <c r="D144" s="555" t="n"/>
      <c r="E144" s="555" t="n"/>
      <c r="F144" s="555" t="n"/>
      <c r="G144" s="555" t="n"/>
      <c r="H144" s="556" t="n"/>
      <c r="I144" s="9" t="n"/>
      <c r="J144" s="9" t="n"/>
    </row>
    <row r="145" ht="15.5" customHeight="1">
      <c r="A145" s="789" t="n"/>
      <c r="E145" s="544" t="n"/>
      <c r="F145" s="544" t="n"/>
      <c r="G145" s="544" t="n"/>
      <c r="H145" s="557" t="n"/>
      <c r="I145" s="9" t="n"/>
      <c r="J145" s="9" t="n"/>
    </row>
    <row r="146" ht="15.5" customHeight="1">
      <c r="A146" s="558" t="n"/>
      <c r="B146" s="300" t="n"/>
      <c r="C146" s="300" t="n"/>
      <c r="D146" s="559" t="n"/>
      <c r="E146" s="544" t="n"/>
      <c r="F146" s="544" t="n"/>
      <c r="G146" s="544" t="n"/>
      <c r="H146" s="557" t="n"/>
      <c r="I146" s="9" t="n"/>
      <c r="J146" s="9" t="n"/>
    </row>
    <row r="147" ht="15.5" customHeight="1">
      <c r="A147" s="560" t="n"/>
      <c r="B147" s="544" t="n"/>
      <c r="C147" s="544" t="n"/>
      <c r="D147" s="544" t="n"/>
      <c r="E147" s="544" t="n"/>
      <c r="F147" s="544" t="n"/>
      <c r="G147" s="544" t="n"/>
      <c r="H147" s="557" t="n"/>
      <c r="I147" s="9" t="n"/>
      <c r="J147" s="9" t="n"/>
    </row>
    <row r="148" ht="15.5" customHeight="1">
      <c r="A148" s="560" t="n"/>
      <c r="B148" s="544" t="n"/>
      <c r="C148" s="544" t="n"/>
      <c r="D148" s="544" t="n"/>
      <c r="E148" s="544" t="n"/>
      <c r="F148" s="544" t="n"/>
      <c r="G148" s="544" t="n"/>
      <c r="H148" s="557" t="n"/>
      <c r="I148" s="9" t="n"/>
      <c r="J148" s="9" t="n"/>
    </row>
    <row r="149" ht="15.5" customHeight="1">
      <c r="A149" s="560" t="n"/>
      <c r="B149" s="544" t="n"/>
      <c r="C149" s="544" t="n"/>
      <c r="D149" s="544" t="n"/>
      <c r="E149" s="544" t="n"/>
      <c r="F149" s="544" t="n"/>
      <c r="G149" s="544" t="n"/>
      <c r="H149" s="557" t="n"/>
      <c r="I149" s="9" t="n"/>
      <c r="J149" s="9" t="n"/>
    </row>
    <row r="150" ht="15" customHeight="1">
      <c r="A150" s="560" t="n"/>
      <c r="B150" s="544" t="n"/>
      <c r="C150" s="544" t="n"/>
      <c r="D150" s="544" t="n"/>
      <c r="E150" s="544" t="n"/>
      <c r="F150" s="544" t="n"/>
      <c r="G150" s="544" t="n"/>
      <c r="H150" s="557" t="n"/>
      <c r="I150" s="9" t="n"/>
      <c r="J150" s="9" t="n"/>
    </row>
    <row r="151" ht="15.5" customHeight="1">
      <c r="A151" s="561" t="n"/>
      <c r="B151" s="128" t="n"/>
      <c r="C151" s="128" t="n"/>
      <c r="D151" s="128" t="n"/>
      <c r="E151" s="128" t="n"/>
      <c r="F151" s="128" t="n"/>
      <c r="G151" s="128" t="n"/>
      <c r="H151" s="562" t="n"/>
      <c r="I151" s="9" t="n"/>
      <c r="J151" s="9" t="n"/>
    </row>
    <row r="152" ht="15.5" customHeight="1">
      <c r="A152" s="563" t="n"/>
      <c r="B152" s="564" t="n"/>
      <c r="C152" s="564" t="n"/>
      <c r="D152" s="564" t="n"/>
      <c r="E152" s="564" t="n"/>
      <c r="F152" s="564" t="n"/>
      <c r="G152" s="564" t="n"/>
      <c r="H152" s="565" t="n"/>
      <c r="I152" s="9" t="n"/>
      <c r="J152" s="9" t="n"/>
    </row>
    <row r="153" ht="23.25" customHeight="1">
      <c r="A153" s="971" t="inlineStr">
        <is>
          <t>筒　賀　水　質　管　理　セ　ン　ター</t>
        </is>
      </c>
      <c r="I153" s="9" t="n"/>
      <c r="J153" s="9" t="n"/>
    </row>
    <row r="154" ht="9" customHeight="1">
      <c r="A154" s="544" t="n"/>
      <c r="B154" s="544" t="n"/>
      <c r="C154" s="544" t="n"/>
      <c r="D154" s="544" t="n"/>
      <c r="E154" s="544" t="n"/>
      <c r="F154" s="544" t="n"/>
      <c r="G154" s="544" t="n"/>
      <c r="H154" s="544" t="n"/>
      <c r="I154" s="9" t="n"/>
      <c r="J154" s="9" t="n"/>
    </row>
    <row r="155" ht="18.75" customHeight="1">
      <c r="A155" s="972" t="inlineStr">
        <is>
          <t xml:space="preserve">主　要　機　器　運　転　時　間　</t>
        </is>
      </c>
      <c r="I155" s="9" t="n"/>
      <c r="J155" s="9" t="n"/>
    </row>
    <row r="156" ht="8.25" customHeight="1">
      <c r="A156" s="788" t="n"/>
      <c r="B156" s="788" t="n"/>
      <c r="C156" s="788" t="n"/>
      <c r="D156" s="788" t="n"/>
      <c r="E156" s="788" t="n"/>
      <c r="F156" s="788" t="n"/>
      <c r="G156" s="788" t="n"/>
      <c r="H156" s="788" t="n"/>
      <c r="I156" s="9" t="n"/>
      <c r="J156" s="9" t="n"/>
    </row>
    <row r="157" ht="18.75" customHeight="1">
      <c r="A157" s="973" t="n">
        <v>46111</v>
      </c>
      <c r="D157" s="974" t="inlineStr">
        <is>
          <t>～</t>
        </is>
      </c>
      <c r="F157" s="973">
        <f>A157+1</f>
        <v/>
      </c>
      <c r="I157" s="9" t="n"/>
      <c r="J157" s="9" t="n"/>
    </row>
    <row r="158" ht="18.75" customHeight="1">
      <c r="A158" s="544" t="n"/>
      <c r="B158" s="544" t="n"/>
      <c r="C158" s="544" t="n"/>
      <c r="D158" s="544" t="n"/>
      <c r="E158" s="544" t="n"/>
      <c r="F158" s="544" t="n"/>
      <c r="G158" s="544" t="n"/>
      <c r="H158" s="544" t="n"/>
      <c r="I158" s="9" t="n"/>
      <c r="J158" s="9" t="n"/>
    </row>
    <row r="159" ht="20.25" customHeight="1">
      <c r="A159" s="790" t="inlineStr">
        <is>
          <t>機　　器　　名　　称</t>
        </is>
      </c>
      <c r="B159" s="574" t="n"/>
      <c r="C159" s="580" t="n"/>
      <c r="D159" s="790" t="inlineStr">
        <is>
          <t>月</t>
        </is>
      </c>
      <c r="E159" s="790" t="inlineStr">
        <is>
          <t>火</t>
        </is>
      </c>
      <c r="F159" s="790" t="inlineStr">
        <is>
          <t>水</t>
        </is>
      </c>
      <c r="G159" s="790" t="inlineStr">
        <is>
          <t>木</t>
        </is>
      </c>
      <c r="H159" s="790" t="inlineStr">
        <is>
          <t>金</t>
        </is>
      </c>
      <c r="I159" s="9" t="n"/>
      <c r="J159" s="9" t="n"/>
    </row>
    <row r="160" ht="25" customHeight="1">
      <c r="A160" s="547" t="inlineStr">
        <is>
          <t xml:space="preserve">NO.1主ポンプ　　</t>
        </is>
      </c>
      <c r="B160" s="548" t="n"/>
      <c r="C160" s="549" t="inlineStr">
        <is>
          <t>hr</t>
        </is>
      </c>
      <c r="D160" s="975" t="n"/>
      <c r="E160" s="975" t="n"/>
      <c r="F160" s="975" t="n"/>
      <c r="G160" s="975" t="n"/>
      <c r="H160" s="975" t="n"/>
      <c r="I160" s="9" t="n"/>
      <c r="J160" s="9" t="n"/>
    </row>
    <row r="161" ht="25" customHeight="1">
      <c r="A161" s="547" t="inlineStr">
        <is>
          <t xml:space="preserve">NO.2主ポンプ　　</t>
        </is>
      </c>
      <c r="B161" s="548" t="n"/>
      <c r="C161" s="549" t="inlineStr">
        <is>
          <t>hr</t>
        </is>
      </c>
      <c r="D161" s="975" t="n"/>
      <c r="E161" s="975" t="n"/>
      <c r="F161" s="975" t="n"/>
      <c r="G161" s="975" t="n"/>
      <c r="H161" s="975" t="n"/>
      <c r="I161" s="9" t="n"/>
      <c r="J161" s="9" t="n"/>
    </row>
    <row r="162" ht="25" customHeight="1">
      <c r="A162" s="547" t="inlineStr">
        <is>
          <t xml:space="preserve">NO.1エアレーション装置　　</t>
        </is>
      </c>
      <c r="B162" s="548" t="n"/>
      <c r="C162" s="549" t="inlineStr">
        <is>
          <t>hr</t>
        </is>
      </c>
      <c r="D162" s="975" t="n"/>
      <c r="E162" s="975" t="n"/>
      <c r="F162" s="975" t="n"/>
      <c r="G162" s="975" t="n"/>
      <c r="H162" s="975" t="n"/>
      <c r="I162" s="9" t="n"/>
      <c r="J162" s="9" t="n"/>
    </row>
    <row r="163" ht="25" customHeight="1">
      <c r="A163" s="547" t="inlineStr">
        <is>
          <t xml:space="preserve">NO.2エアレーション装置　　</t>
        </is>
      </c>
      <c r="B163" s="548" t="n"/>
      <c r="C163" s="549" t="inlineStr">
        <is>
          <t>hr</t>
        </is>
      </c>
      <c r="D163" s="975" t="n"/>
      <c r="E163" s="975" t="n"/>
      <c r="F163" s="975" t="n"/>
      <c r="G163" s="975" t="n"/>
      <c r="H163" s="975" t="n"/>
      <c r="I163" s="9" t="n"/>
      <c r="J163" s="9" t="n"/>
    </row>
    <row r="164" ht="25" customHeight="1">
      <c r="A164" s="547" t="inlineStr">
        <is>
          <t xml:space="preserve">NO.3エアレーション装置　　</t>
        </is>
      </c>
      <c r="B164" s="548" t="n"/>
      <c r="C164" s="549" t="inlineStr">
        <is>
          <t>hr</t>
        </is>
      </c>
      <c r="D164" s="975" t="n"/>
      <c r="E164" s="975" t="n"/>
      <c r="F164" s="975" t="n"/>
      <c r="G164" s="975" t="n"/>
      <c r="H164" s="975" t="n"/>
      <c r="I164" s="9" t="n"/>
      <c r="J164" s="9" t="n"/>
    </row>
    <row r="165" ht="25" customHeight="1">
      <c r="A165" s="547" t="inlineStr">
        <is>
          <t xml:space="preserve">NO.4エアレーション装置　　</t>
        </is>
      </c>
      <c r="B165" s="548" t="n"/>
      <c r="C165" s="549" t="inlineStr">
        <is>
          <t>hr</t>
        </is>
      </c>
      <c r="D165" s="975" t="n"/>
      <c r="E165" s="975" t="n"/>
      <c r="F165" s="975" t="n"/>
      <c r="G165" s="975" t="n"/>
      <c r="H165" s="975" t="n"/>
      <c r="I165" s="9" t="n"/>
      <c r="J165" s="9" t="n"/>
    </row>
    <row r="166" ht="25" customHeight="1">
      <c r="A166" s="547" t="inlineStr">
        <is>
          <t xml:space="preserve">№1終沈汚泥かき寄せ機　　</t>
        </is>
      </c>
      <c r="B166" s="548" t="n"/>
      <c r="C166" s="549" t="inlineStr">
        <is>
          <t>hr</t>
        </is>
      </c>
      <c r="D166" s="975" t="n"/>
      <c r="E166" s="975" t="n"/>
      <c r="F166" s="975" t="n"/>
      <c r="G166" s="975" t="n"/>
      <c r="H166" s="975" t="n"/>
      <c r="I166" s="9" t="n"/>
      <c r="J166" s="9" t="n"/>
    </row>
    <row r="167" ht="25" customHeight="1">
      <c r="A167" s="547" t="inlineStr">
        <is>
          <t xml:space="preserve">№2終沈汚泥かき寄せ機　　</t>
        </is>
      </c>
      <c r="B167" s="548" t="n"/>
      <c r="C167" s="549" t="inlineStr">
        <is>
          <t>hr</t>
        </is>
      </c>
      <c r="D167" s="975" t="n"/>
      <c r="E167" s="975" t="n"/>
      <c r="F167" s="975" t="n"/>
      <c r="G167" s="975" t="n"/>
      <c r="H167" s="975" t="n"/>
      <c r="I167" s="9" t="n"/>
      <c r="J167" s="9" t="n"/>
    </row>
    <row r="168" ht="25" customHeight="1">
      <c r="A168" s="547" t="inlineStr">
        <is>
          <t xml:space="preserve">NO.1返送汚泥ポンプ </t>
        </is>
      </c>
      <c r="B168" s="548" t="n"/>
      <c r="C168" s="549" t="inlineStr">
        <is>
          <t>hr</t>
        </is>
      </c>
      <c r="D168" s="975" t="n"/>
      <c r="E168" s="975" t="n"/>
      <c r="F168" s="975" t="n"/>
      <c r="G168" s="975" t="n"/>
      <c r="H168" s="975" t="n"/>
      <c r="I168" s="9" t="n"/>
      <c r="J168" s="9" t="n"/>
    </row>
    <row r="169" ht="25" customHeight="1">
      <c r="A169" s="547" t="inlineStr">
        <is>
          <t xml:space="preserve">NO.2返送汚泥ポンプ </t>
        </is>
      </c>
      <c r="B169" s="548" t="n"/>
      <c r="C169" s="549" t="inlineStr">
        <is>
          <t>hr</t>
        </is>
      </c>
      <c r="D169" s="975" t="n"/>
      <c r="E169" s="975" t="n"/>
      <c r="F169" s="975" t="n"/>
      <c r="G169" s="975" t="n"/>
      <c r="H169" s="975" t="n"/>
      <c r="I169" s="9" t="n"/>
      <c r="J169" s="9" t="n"/>
    </row>
    <row r="170" ht="25" customHeight="1">
      <c r="A170" s="547" t="inlineStr">
        <is>
          <t xml:space="preserve">NO.3返送汚泥ポンプ </t>
        </is>
      </c>
      <c r="B170" s="548" t="n"/>
      <c r="C170" s="549" t="inlineStr">
        <is>
          <t>hr</t>
        </is>
      </c>
      <c r="D170" s="975" t="n"/>
      <c r="E170" s="975" t="n"/>
      <c r="F170" s="975" t="n"/>
      <c r="G170" s="975" t="n"/>
      <c r="H170" s="975" t="n"/>
      <c r="I170" s="9" t="n"/>
      <c r="J170" s="9" t="n"/>
    </row>
    <row r="171" ht="25" customHeight="1">
      <c r="A171" s="547" t="inlineStr">
        <is>
          <t xml:space="preserve">NO.4返送汚泥ポンプ </t>
        </is>
      </c>
      <c r="B171" s="548" t="n"/>
      <c r="C171" s="549" t="inlineStr">
        <is>
          <t>hr</t>
        </is>
      </c>
      <c r="D171" s="975" t="n"/>
      <c r="E171" s="975" t="n"/>
      <c r="F171" s="975" t="n"/>
      <c r="G171" s="975" t="n"/>
      <c r="H171" s="975" t="n"/>
      <c r="I171" s="9" t="n"/>
      <c r="J171" s="566" t="n"/>
    </row>
    <row r="172" ht="25" customHeight="1">
      <c r="A172" s="547" t="inlineStr">
        <is>
          <t xml:space="preserve">NO.1余剰汚泥ポンプ </t>
        </is>
      </c>
      <c r="B172" s="548" t="n"/>
      <c r="C172" s="549" t="inlineStr">
        <is>
          <t>hr</t>
        </is>
      </c>
      <c r="D172" s="975" t="n"/>
      <c r="E172" s="975" t="n"/>
      <c r="F172" s="975" t="n"/>
      <c r="G172" s="975" t="n"/>
      <c r="H172" s="975" t="n"/>
      <c r="I172" s="9" t="n"/>
      <c r="J172" s="9" t="n"/>
    </row>
    <row r="173" ht="25" customHeight="1">
      <c r="A173" s="547" t="inlineStr">
        <is>
          <t xml:space="preserve">NO.2余剰汚泥ポンプ </t>
        </is>
      </c>
      <c r="B173" s="548" t="n"/>
      <c r="C173" s="549" t="inlineStr">
        <is>
          <t>hr</t>
        </is>
      </c>
      <c r="D173" s="975" t="n"/>
      <c r="E173" s="975" t="n"/>
      <c r="F173" s="975" t="n"/>
      <c r="G173" s="975" t="n"/>
      <c r="H173" s="975" t="n"/>
      <c r="I173" s="9" t="n"/>
      <c r="J173" s="9" t="n"/>
    </row>
    <row r="174" ht="25" customHeight="1">
      <c r="A174" s="547" t="inlineStr">
        <is>
          <t xml:space="preserve">終沈室床排ポンプ </t>
        </is>
      </c>
      <c r="B174" s="548" t="n"/>
      <c r="C174" s="549" t="inlineStr">
        <is>
          <t>hr</t>
        </is>
      </c>
      <c r="D174" s="975" t="n"/>
      <c r="E174" s="975" t="n"/>
      <c r="F174" s="975" t="n"/>
      <c r="G174" s="975" t="n"/>
      <c r="H174" s="975" t="n"/>
      <c r="I174" s="9" t="n"/>
      <c r="J174" s="9" t="n"/>
    </row>
    <row r="175" ht="25" customHeight="1">
      <c r="A175" s="547" t="inlineStr">
        <is>
          <t xml:space="preserve">№1濃縮汚泥引抜ポンプ  </t>
        </is>
      </c>
      <c r="B175" s="548" t="n"/>
      <c r="C175" s="549" t="inlineStr">
        <is>
          <t>hr</t>
        </is>
      </c>
      <c r="D175" s="975" t="n"/>
      <c r="E175" s="975" t="n"/>
      <c r="F175" s="975" t="n"/>
      <c r="G175" s="975" t="n"/>
      <c r="H175" s="975" t="n"/>
      <c r="I175" s="9" t="n"/>
      <c r="J175" s="9" t="n"/>
    </row>
    <row r="176" ht="25" customHeight="1">
      <c r="A176" s="547" t="inlineStr">
        <is>
          <t xml:space="preserve">№2濃縮汚泥引抜ポンプ  </t>
        </is>
      </c>
      <c r="B176" s="548" t="n"/>
      <c r="C176" s="549" t="inlineStr">
        <is>
          <t>hr</t>
        </is>
      </c>
      <c r="D176" s="975" t="n"/>
      <c r="E176" s="975" t="n"/>
      <c r="F176" s="975" t="n"/>
      <c r="G176" s="975" t="n"/>
      <c r="H176" s="975" t="n"/>
      <c r="I176" s="9" t="n"/>
      <c r="J176" s="9" t="n"/>
    </row>
    <row r="177" ht="25" customHeight="1">
      <c r="A177" s="547" t="inlineStr">
        <is>
          <t xml:space="preserve">NO.1返流水ポンプ </t>
        </is>
      </c>
      <c r="B177" s="548" t="n"/>
      <c r="C177" s="549" t="inlineStr">
        <is>
          <t>hr</t>
        </is>
      </c>
      <c r="D177" s="975" t="n"/>
      <c r="E177" s="975" t="n"/>
      <c r="F177" s="975" t="n"/>
      <c r="G177" s="975" t="n"/>
      <c r="H177" s="975" t="n"/>
      <c r="I177" s="9" t="n"/>
      <c r="J177" s="9" t="n"/>
    </row>
    <row r="178" ht="25" customHeight="1">
      <c r="A178" s="547" t="inlineStr">
        <is>
          <t xml:space="preserve">NO.2返流水ポンプ </t>
        </is>
      </c>
      <c r="B178" s="548" t="n"/>
      <c r="C178" s="549" t="inlineStr">
        <is>
          <t>hr</t>
        </is>
      </c>
      <c r="D178" s="975" t="n"/>
      <c r="E178" s="975" t="n"/>
      <c r="F178" s="975" t="n"/>
      <c r="G178" s="975" t="n"/>
      <c r="H178" s="975" t="n"/>
      <c r="I178" s="9" t="n"/>
      <c r="J178" s="9" t="n"/>
    </row>
    <row r="179" ht="25" customHeight="1">
      <c r="A179" s="547" t="inlineStr">
        <is>
          <t xml:space="preserve">汚泥ポンプ室床排ポンプ </t>
        </is>
      </c>
      <c r="B179" s="548" t="n"/>
      <c r="C179" s="549" t="inlineStr">
        <is>
          <t>hr</t>
        </is>
      </c>
      <c r="D179" s="975" t="n"/>
      <c r="E179" s="975" t="n"/>
      <c r="F179" s="975" t="n"/>
      <c r="G179" s="975" t="n"/>
      <c r="H179" s="975" t="n"/>
      <c r="I179" s="9" t="n"/>
      <c r="J179" s="9" t="n"/>
    </row>
    <row r="180" ht="25" customHeight="1">
      <c r="A180" s="552" t="inlineStr">
        <is>
          <t>臭気ガス吸引装置</t>
        </is>
      </c>
      <c r="B180" s="553" t="n"/>
      <c r="C180" s="554" t="inlineStr">
        <is>
          <t>hr</t>
        </is>
      </c>
      <c r="D180" s="975" t="n"/>
      <c r="E180" s="975" t="n"/>
      <c r="F180" s="975" t="n"/>
      <c r="G180" s="975" t="n"/>
      <c r="H180" s="975" t="n"/>
      <c r="I180" s="9" t="n"/>
      <c r="J180" s="9" t="n"/>
    </row>
    <row r="181" ht="25" customHeight="1">
      <c r="A181" s="784" t="inlineStr">
        <is>
          <t>発電機</t>
        </is>
      </c>
      <c r="B181" s="574" t="n"/>
      <c r="C181" s="554" t="inlineStr">
        <is>
          <t>hr</t>
        </is>
      </c>
      <c r="D181" s="975" t="n"/>
      <c r="E181" s="975" t="n"/>
      <c r="F181" s="975" t="n"/>
      <c r="G181" s="975" t="n"/>
      <c r="H181" s="975" t="n"/>
      <c r="I181" s="9" t="n"/>
      <c r="J181" s="9" t="n"/>
    </row>
    <row r="182" ht="21" customHeight="1">
      <c r="A182" s="785" t="inlineStr">
        <is>
          <t>備考</t>
        </is>
      </c>
      <c r="B182" s="586" t="n"/>
      <c r="C182" s="555" t="n"/>
      <c r="D182" s="555" t="n"/>
      <c r="E182" s="555" t="n"/>
      <c r="F182" s="555" t="n"/>
      <c r="G182" s="555" t="n"/>
      <c r="H182" s="556" t="n"/>
      <c r="I182" s="9" t="n"/>
      <c r="J182" s="9" t="n"/>
    </row>
    <row r="183" ht="15.5" customHeight="1">
      <c r="A183" s="789" t="n"/>
      <c r="E183" s="544" t="n"/>
      <c r="F183" s="544" t="n"/>
      <c r="G183" s="544" t="n"/>
      <c r="H183" s="557" t="n"/>
      <c r="I183" s="9" t="n"/>
      <c r="J183" s="9" t="n"/>
    </row>
    <row r="184" ht="15.5" customHeight="1">
      <c r="A184" s="558" t="n"/>
      <c r="B184" s="300" t="n"/>
      <c r="C184" s="300" t="n"/>
      <c r="D184" s="559" t="n"/>
      <c r="E184" s="544" t="n"/>
      <c r="F184" s="544" t="n"/>
      <c r="G184" s="544" t="n"/>
      <c r="H184" s="557" t="n"/>
      <c r="I184" s="9" t="n"/>
      <c r="J184" s="9" t="n"/>
    </row>
    <row r="185" ht="15.5" customHeight="1">
      <c r="A185" s="560" t="n"/>
      <c r="B185" s="544" t="n"/>
      <c r="C185" s="544" t="n"/>
      <c r="D185" s="544" t="n"/>
      <c r="E185" s="544" t="n"/>
      <c r="F185" s="544" t="n"/>
      <c r="G185" s="544" t="n"/>
      <c r="H185" s="557" t="n"/>
      <c r="I185" s="9" t="n"/>
      <c r="J185" s="9" t="n"/>
    </row>
    <row r="186" ht="15.5" customHeight="1">
      <c r="A186" s="560" t="n"/>
      <c r="B186" s="544" t="n"/>
      <c r="C186" s="544" t="n"/>
      <c r="D186" s="544" t="n"/>
      <c r="E186" s="544" t="n"/>
      <c r="F186" s="544" t="n"/>
      <c r="G186" s="544" t="n"/>
      <c r="H186" s="557" t="n"/>
      <c r="I186" s="9" t="n"/>
      <c r="J186" s="9" t="n"/>
    </row>
    <row r="187" ht="15.5" customHeight="1">
      <c r="A187" s="560" t="n"/>
      <c r="B187" s="544" t="n"/>
      <c r="C187" s="544" t="n"/>
      <c r="D187" s="544" t="n"/>
      <c r="E187" s="544" t="n"/>
      <c r="F187" s="544" t="n"/>
      <c r="G187" s="544" t="n"/>
      <c r="H187" s="557" t="n"/>
      <c r="I187" s="9" t="n"/>
      <c r="J187" s="9" t="n"/>
    </row>
    <row r="188" ht="15" customHeight="1">
      <c r="A188" s="560" t="n"/>
      <c r="B188" s="544" t="n"/>
      <c r="C188" s="544" t="n"/>
      <c r="D188" s="544" t="n"/>
      <c r="E188" s="544" t="n"/>
      <c r="F188" s="544" t="n"/>
      <c r="G188" s="544" t="n"/>
      <c r="H188" s="557" t="n"/>
      <c r="I188" s="9" t="n"/>
      <c r="J188" s="9" t="n"/>
    </row>
    <row r="189" ht="15.5" customHeight="1">
      <c r="A189" s="561" t="n"/>
      <c r="B189" s="128" t="n"/>
      <c r="C189" s="128" t="n"/>
      <c r="D189" s="128" t="n"/>
      <c r="E189" s="128" t="n"/>
      <c r="F189" s="128" t="n"/>
      <c r="G189" s="128" t="n"/>
      <c r="H189" s="562" t="n"/>
      <c r="I189" s="9" t="n"/>
      <c r="J189" s="9" t="n"/>
    </row>
    <row r="190" ht="15.5" customHeight="1">
      <c r="A190" s="563" t="n"/>
      <c r="B190" s="564" t="n"/>
      <c r="C190" s="564" t="n"/>
      <c r="D190" s="564" t="n"/>
      <c r="E190" s="564" t="n"/>
      <c r="F190" s="564" t="n"/>
      <c r="G190" s="564" t="n"/>
      <c r="H190" s="565" t="n"/>
      <c r="I190" s="9" t="n"/>
      <c r="J190" s="9" t="n"/>
    </row>
  </sheetData>
  <mergeCells count="45">
    <mergeCell ref="A143:B143"/>
    <mergeCell ref="A30:B30"/>
    <mergeCell ref="A155:H155"/>
    <mergeCell ref="A39:H39"/>
    <mergeCell ref="A77:H77"/>
    <mergeCell ref="F5:H5"/>
    <mergeCell ref="A67:B67"/>
    <mergeCell ref="A182:B182"/>
    <mergeCell ref="D81:E81"/>
    <mergeCell ref="D119:E119"/>
    <mergeCell ref="A1:H1"/>
    <mergeCell ref="A79:H79"/>
    <mergeCell ref="F81:H81"/>
    <mergeCell ref="A153:H153"/>
    <mergeCell ref="A31:D31"/>
    <mergeCell ref="A5:C5"/>
    <mergeCell ref="A159:C159"/>
    <mergeCell ref="F43:H43"/>
    <mergeCell ref="A41:H41"/>
    <mergeCell ref="A107:D107"/>
    <mergeCell ref="A43:C43"/>
    <mergeCell ref="A81:C81"/>
    <mergeCell ref="A105:B105"/>
    <mergeCell ref="A121:C121"/>
    <mergeCell ref="A3:H3"/>
    <mergeCell ref="A69:D69"/>
    <mergeCell ref="D43:E43"/>
    <mergeCell ref="F119:H119"/>
    <mergeCell ref="F157:H157"/>
    <mergeCell ref="A181:B181"/>
    <mergeCell ref="A83:C83"/>
    <mergeCell ref="A183:D183"/>
    <mergeCell ref="A144:B144"/>
    <mergeCell ref="A106:B106"/>
    <mergeCell ref="A157:C157"/>
    <mergeCell ref="D157:E157"/>
    <mergeCell ref="A29:B29"/>
    <mergeCell ref="A45:C45"/>
    <mergeCell ref="A145:D145"/>
    <mergeCell ref="A68:B68"/>
    <mergeCell ref="D5:E5"/>
    <mergeCell ref="A119:C119"/>
    <mergeCell ref="A115:H115"/>
    <mergeCell ref="A117:H117"/>
    <mergeCell ref="A7:C7"/>
  </mergeCells>
  <pageMargins left="0.7874015748031497" right="0.7874015748031497" top="0.7874015748031497" bottom="0.5905511811023623" header="0.5118110236220472" footer="0.2755905511811024"/>
  <pageSetup orientation="portrait" paperSize="9" scale="89"/>
  <rowBreaks count="4" manualBreakCount="4">
    <brk id="38" min="0" max="7" man="1"/>
    <brk id="76" min="0" max="7" man="1"/>
    <brk id="114" min="0" max="7" man="1"/>
    <brk id="152" min="0" max="7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野田 光一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2026-04-28T04:36:50Z</dcterms:modified>
  <cp:lastModifiedBy>main 0wner</cp:lastModifiedBy>
  <cp:lastPrinted>2026-04-28T04:28:05Z</cp:lastPrinted>
</cp:coreProperties>
</file>